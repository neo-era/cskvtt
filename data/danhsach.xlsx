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aivu\Documents\GitHub\cskvtt\data\"/>
    </mc:Choice>
  </mc:AlternateContent>
  <xr:revisionPtr revIDLastSave="0" documentId="13_ncr:1_{CF8CA9D3-5297-4487-A5DF-22D31CEABD84}" xr6:coauthVersionLast="47" xr6:coauthVersionMax="47" xr10:uidLastSave="{00000000-0000-0000-0000-000000000000}"/>
  <bookViews>
    <workbookView xWindow="-120" yWindow="-120" windowWidth="29040" windowHeight="16440" xr2:uid="{A1266DFF-32F5-4B0B-A729-2A44814C55C6}"/>
  </bookViews>
  <sheets>
    <sheet name="Sheet1" sheetId="2" r:id="rId1"/>
  </sheets>
  <definedNames>
    <definedName name="dadad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2" l="1"/>
  <c r="R5" i="2"/>
  <c r="R6" i="2"/>
  <c r="R7" i="2"/>
  <c r="R8" i="2"/>
  <c r="R9" i="2"/>
  <c r="R10" i="2"/>
  <c r="R11" i="2"/>
  <c r="R12" i="2"/>
  <c r="P12" i="2" s="1"/>
  <c r="R13" i="2"/>
  <c r="P13" i="2" s="1"/>
  <c r="R14" i="2"/>
  <c r="R15" i="2"/>
  <c r="P15" i="2" s="1"/>
  <c r="R16" i="2"/>
  <c r="P16" i="2" s="1"/>
  <c r="R17" i="2"/>
  <c r="R18" i="2"/>
  <c r="R19" i="2"/>
  <c r="R20" i="2"/>
  <c r="R21" i="2"/>
  <c r="R22" i="2"/>
  <c r="R23" i="2"/>
  <c r="R24" i="2"/>
  <c r="P24" i="2" s="1"/>
  <c r="R25" i="2"/>
  <c r="R26" i="2"/>
  <c r="R27" i="2"/>
  <c r="P27" i="2" s="1"/>
  <c r="R28" i="2"/>
  <c r="P28" i="2" s="1"/>
  <c r="R29" i="2"/>
  <c r="R30" i="2"/>
  <c r="R31" i="2"/>
  <c r="R32" i="2"/>
  <c r="R33" i="2"/>
  <c r="R34" i="2"/>
  <c r="R35" i="2"/>
  <c r="R36" i="2"/>
  <c r="R37" i="2"/>
  <c r="R38" i="2"/>
  <c r="R3" i="2"/>
  <c r="P2" i="2"/>
  <c r="P3" i="2"/>
  <c r="P4" i="2"/>
  <c r="P5" i="2"/>
  <c r="P6" i="2"/>
  <c r="P7" i="2"/>
  <c r="P8" i="2"/>
  <c r="P9" i="2"/>
  <c r="P10" i="2"/>
  <c r="P11" i="2"/>
  <c r="P14" i="2"/>
  <c r="P17" i="2"/>
  <c r="P18" i="2"/>
  <c r="P19" i="2"/>
  <c r="P20" i="2"/>
  <c r="P21" i="2"/>
  <c r="P22" i="2"/>
  <c r="P23" i="2"/>
  <c r="P25" i="2"/>
  <c r="P26" i="2"/>
  <c r="P29" i="2"/>
  <c r="P30" i="2"/>
  <c r="P31" i="2"/>
  <c r="P32" i="2"/>
  <c r="P33" i="2"/>
  <c r="P34" i="2"/>
  <c r="P35" i="2"/>
  <c r="P36" i="2"/>
  <c r="P37" i="2"/>
  <c r="P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Mai Vu Lam</author>
  </authors>
  <commentList>
    <comment ref="G1" authorId="0" shapeId="0" xr:uid="{B1067045-D880-47B6-8D54-00B45FC6FAE1}">
      <text>
        <r>
          <rPr>
            <b/>
            <sz val="9"/>
            <color indexed="81"/>
            <rFont val="Tahoma"/>
            <family val="2"/>
          </rPr>
          <t>Mai Vu Lam:</t>
        </r>
        <r>
          <rPr>
            <sz val="9"/>
            <color indexed="81"/>
            <rFont val="Tahoma"/>
            <family val="2"/>
          </rPr>
          <t xml:space="preserve">
0: trụ HTLT lắp đèn
1: trụ TTC
2: trụ trồng mới
3: trụ lấu nguồn
4: đèn hiện hữu
5: STK mới
6: tủ điều khiển</t>
        </r>
      </text>
    </comment>
    <comment ref="G2" authorId="0" shapeId="0" xr:uid="{4A021DDF-255C-451A-99DF-9AAA58CFA850}">
      <text>
        <r>
          <rPr>
            <b/>
            <sz val="9"/>
            <color indexed="81"/>
            <rFont val="Tahoma"/>
            <family val="2"/>
          </rPr>
          <t>Mai Vu Lam:</t>
        </r>
        <r>
          <rPr>
            <sz val="9"/>
            <color indexed="81"/>
            <rFont val="Tahoma"/>
            <family val="2"/>
          </rPr>
          <t xml:space="preserve">
Mai Vu Lam:
0: trụ HTLT lắp đèn
1: trụ TTC
2: trụ trồng mới
3: trụ lấu nguồn
4: đèn hiện hữu
5: STK mới
6: tủ điều khiển</t>
        </r>
      </text>
    </comment>
  </commentList>
</comments>
</file>

<file path=xl/sharedStrings.xml><?xml version="1.0" encoding="utf-8"?>
<sst xmlns="http://schemas.openxmlformats.org/spreadsheetml/2006/main" count="349" uniqueCount="340">
  <si>
    <t>latitude</t>
  </si>
  <si>
    <t>longtitude</t>
  </si>
  <si>
    <t>name</t>
  </si>
  <si>
    <t>Trang thai</t>
  </si>
  <si>
    <t>ID</t>
  </si>
  <si>
    <t>Mai Vũ Lâm</t>
  </si>
  <si>
    <t>Trần Ngọc Tuấn Anh</t>
  </si>
  <si>
    <t>Địa chỉ nhà riêng</t>
  </si>
  <si>
    <t>Địa chỉ cơ quan</t>
  </si>
  <si>
    <t>Điện thoại 1</t>
  </si>
  <si>
    <t>Điện thoại 2</t>
  </si>
  <si>
    <t>Facebook</t>
  </si>
  <si>
    <t>Cơ quan công tác</t>
  </si>
  <si>
    <t>Chức vụ</t>
  </si>
  <si>
    <t>Hình ảnh</t>
  </si>
  <si>
    <t>mvla.faceboo</t>
  </si>
  <si>
    <t>tuan.facebook</t>
  </si>
  <si>
    <t>Column1</t>
  </si>
  <si>
    <t>K76.A11.415</t>
  </si>
  <si>
    <t>K76.A11.416</t>
  </si>
  <si>
    <t>K76.A11.418</t>
  </si>
  <si>
    <t>K76.A11.419</t>
  </si>
  <si>
    <t>K76.A11.213</t>
  </si>
  <si>
    <t>K76.A11.420</t>
  </si>
  <si>
    <t>K76.A11.421</t>
  </si>
  <si>
    <t>K76.A11.422</t>
  </si>
  <si>
    <t>K76.A11.424</t>
  </si>
  <si>
    <t>K76.A11.425</t>
  </si>
  <si>
    <t>K76.A11.427</t>
  </si>
  <si>
    <t>K76.A11.428</t>
  </si>
  <si>
    <t>K76.A11.429</t>
  </si>
  <si>
    <t>K76.A11.430</t>
  </si>
  <si>
    <t>K76.A11.431</t>
  </si>
  <si>
    <t>K76.A11.433</t>
  </si>
  <si>
    <t>K76.A11.434</t>
  </si>
  <si>
    <t>K76.A11.435</t>
  </si>
  <si>
    <t>K76.A11.436</t>
  </si>
  <si>
    <t>K76.A11.437</t>
  </si>
  <si>
    <t>K76.A11.439</t>
  </si>
  <si>
    <t>K76.A11.440</t>
  </si>
  <si>
    <t>K76.A11.443</t>
  </si>
  <si>
    <t>K76.A11.444</t>
  </si>
  <si>
    <t>K76.A11.445</t>
  </si>
  <si>
    <t>K76.A11.446</t>
  </si>
  <si>
    <t>K76.A11.447</t>
  </si>
  <si>
    <t>K76.A11.448</t>
  </si>
  <si>
    <t>K76.A11.449</t>
  </si>
  <si>
    <t>K76.A11.450</t>
  </si>
  <si>
    <t>K76.A11.451</t>
  </si>
  <si>
    <t>K76.A11.454</t>
  </si>
  <si>
    <t>K76.A11.455</t>
  </si>
  <si>
    <t>K76.A11.493</t>
  </si>
  <si>
    <t>K76.A11.492</t>
  </si>
  <si>
    <t>K76.A11.491</t>
  </si>
  <si>
    <t>Lê Thế Anh</t>
  </si>
  <si>
    <t>Hoàng Đức Bình</t>
  </si>
  <si>
    <t>Ngô Thanh Ngọc Cảnh</t>
  </si>
  <si>
    <t>Nguyễn Văn Chắn</t>
  </si>
  <si>
    <t>Lâm Mạnh Cường</t>
  </si>
  <si>
    <t>Trương Nhật Cường</t>
  </si>
  <si>
    <t>Bùi Thị Dung</t>
  </si>
  <si>
    <t>Huỳnh Hồng Hải</t>
  </si>
  <si>
    <t>Trần Thành Hải</t>
  </si>
  <si>
    <t>Ngô Văn Hoàng</t>
  </si>
  <si>
    <t>Hồ Viết Hùng</t>
  </si>
  <si>
    <t>Lê Mai Huyền</t>
  </si>
  <si>
    <t>Nguyễn Minh Khoa</t>
  </si>
  <si>
    <t>Huỳnh Ngọc Tố Loan</t>
  </si>
  <si>
    <t>Nguyễn Phước Nhật Long</t>
  </si>
  <si>
    <t>Kha Kinh Lý</t>
  </si>
  <si>
    <t>Nguyễn Thị Mộng Nga</t>
  </si>
  <si>
    <t>Trần Võ Trí Nhân</t>
  </si>
  <si>
    <t>Nguyễn Thị Lam Phương</t>
  </si>
  <si>
    <t>Trương Cao Sáng</t>
  </si>
  <si>
    <t>Phạm Thị Thu Thảo</t>
  </si>
  <si>
    <t>Đinh Viết Thịnh</t>
  </si>
  <si>
    <t>Trương Văn Thùy</t>
  </si>
  <si>
    <t>Phạm Thị Mỹ Tiên</t>
  </si>
  <si>
    <t>Lâm Mộc Tiền</t>
  </si>
  <si>
    <t>Trần Trung Tín</t>
  </si>
  <si>
    <t>Đoàn Bảo Toàn</t>
  </si>
  <si>
    <t>Lương Thế Trung</t>
  </si>
  <si>
    <t>Nguyễn Đặng Anh Tú</t>
  </si>
  <si>
    <t>Phan Thị Bạch Tuyết</t>
  </si>
  <si>
    <t>Phan Lê Thị Thanh Xuân</t>
  </si>
  <si>
    <t>Ưng Thanh Hải</t>
  </si>
  <si>
    <t>Lê Thị Minh Hiếu</t>
  </si>
  <si>
    <t>Ngày tháng năm sinh</t>
  </si>
  <si>
    <t>Phó Giám đốc</t>
  </si>
  <si>
    <t>Phó Ban Tổ chức</t>
  </si>
  <si>
    <t>Ban Quản lý dự án khu vực III thuộc Ban Quản lý dự án tỉnh An Giang</t>
  </si>
  <si>
    <t>Đảng uỷ các cơ quan Đảng TPHCM</t>
  </si>
  <si>
    <t>0918846868</t>
  </si>
  <si>
    <t>0939100611</t>
  </si>
  <si>
    <t>01/12/1978</t>
  </si>
  <si>
    <t>K76.A11.465</t>
  </si>
  <si>
    <t>Đỗ Văn Tín</t>
  </si>
  <si>
    <t>Lê Nhật Bình</t>
  </si>
  <si>
    <t>Nơi sinh</t>
  </si>
  <si>
    <t>phường Tân Châu, tỉnh An Giang</t>
  </si>
  <si>
    <t>phường Bàn Cờ, TP.HCM</t>
  </si>
  <si>
    <t>xã An Châu, An Giang</t>
  </si>
  <si>
    <t>Thạnh Phú, Đồng Tháp</t>
  </si>
  <si>
    <t>Xã Phú Hòa Đông, TPHCM</t>
  </si>
  <si>
    <t>Xã Gia Lâm, tỉnh Ninh Bình</t>
  </si>
  <si>
    <t>Phước Hội, Lâm Đồng</t>
  </si>
  <si>
    <t>Đặc khu Lý Sơn, T. Quảng Ngãi</t>
  </si>
  <si>
    <t xml:space="preserve">Ngọc Sơn, tỉnh Thanh Hóa </t>
  </si>
  <si>
    <t>Xã Chợ Mới, tỉnh An Giang</t>
  </si>
  <si>
    <t>Xã Mỹ Lộc, tỉnh Tây Ninh</t>
  </si>
  <si>
    <t xml:space="preserve">Bến Cát, TPHCM </t>
  </si>
  <si>
    <t>Phường An Phú Đông, Thành Phố Hồ Chí Minh</t>
  </si>
  <si>
    <t>Quận Ba, thành phố Huế, tỉnh Thừa Thiên - Huế</t>
  </si>
  <si>
    <t>phường Sa Đéc, T. Đồng Tháp</t>
  </si>
  <si>
    <t>Phường Tân Hải, TP.Hồ Chí Minh</t>
  </si>
  <si>
    <t>Xã Phước Lý, tỉnh Tây Ninh</t>
  </si>
  <si>
    <t>Xã Tân Kỳ, tỉnh Nghệ An</t>
  </si>
  <si>
    <t>Xã Di Linh, tỉnh Lâm Đồng</t>
  </si>
  <si>
    <t>Phường Mỹ Tho, tỉnh Đồng Tháp</t>
  </si>
  <si>
    <t xml:space="preserve">xã Nhơn Hoà Lập, tỉnh Tây Ninh </t>
  </si>
  <si>
    <t>xã Cù Lao Giêng, tỉnh An Giang</t>
  </si>
  <si>
    <t xml:space="preserve">Xã Hội Cư, Tỉnh Đồng Tháp </t>
  </si>
  <si>
    <t>Xã Vĩnh Hanh, tỉnh An Giang</t>
  </si>
  <si>
    <t>Xã Vĩnh Hậu, tỉnh An Gianh</t>
  </si>
  <si>
    <t>Xã Mỹ Thuận, tỉnh An Giang</t>
  </si>
  <si>
    <t>Phường Nhiêu Lộc, Thành phố Hồ Chí Minh</t>
  </si>
  <si>
    <t>Xã Chợ Gạo, tỉnh Đồng Tháp</t>
  </si>
  <si>
    <t>Xã An Lục Long, tỉnh Tây Ninh</t>
  </si>
  <si>
    <t>Phường Phú Lợi, TP.HCM</t>
  </si>
  <si>
    <t>Phường Cẩm Thành, tỉnh Quảng Ngãi</t>
  </si>
  <si>
    <t>Xã Đăk Đoa, Tỉnh Gia Lai</t>
  </si>
  <si>
    <t>Ban Nội chính Tỉnh uỷ Đồng Nai</t>
  </si>
  <si>
    <t>UBND phường Phước Hội tỉnh Lâm Đồng</t>
  </si>
  <si>
    <t xml:space="preserve">Thành đoàn Thành phố Hồ Chí Minh </t>
  </si>
  <si>
    <t>Sở Xây dựng tỉnh Đồng Nai</t>
  </si>
  <si>
    <t>Học viện cán bộ Tp. HCM</t>
  </si>
  <si>
    <t>Viện Kiểm sát nhân dân tỉnh An Giang</t>
  </si>
  <si>
    <t>Xã Cần Giuộc, tỉnh Tây Ninh</t>
  </si>
  <si>
    <t xml:space="preserve">Công ty cp Chiếu sáng công cộng TpHCM </t>
  </si>
  <si>
    <t>Hội đồng nhân dân phường Đông Hưng Thuận</t>
  </si>
  <si>
    <t>Sở Xây dựng - Tp.HCM</t>
  </si>
  <si>
    <t>Liên hiệp HTX TM TP HCM ( Saigonco.op)</t>
  </si>
  <si>
    <t>Đảng ủy phường Tân Phước, TP.Hồ Chí Minh</t>
  </si>
  <si>
    <t>Sở An toàn thực phẩm TPHCM</t>
  </si>
  <si>
    <t>Ủy ban Mặt trận Tổ quốc Việt Nam tỉnh Lâm Đồng</t>
  </si>
  <si>
    <t>UBMTTQ Việt Nam tỉnh Đồng Nai</t>
  </si>
  <si>
    <t>Công an tỉnh Đồng Nai</t>
  </si>
  <si>
    <t xml:space="preserve">MTTQ xã Hưng Điền, tỉnh Tây Ninh </t>
  </si>
  <si>
    <t xml:space="preserve">UBMTTQ Việt Nam tỉnh An Giang </t>
  </si>
  <si>
    <t xml:space="preserve"> Trạm Y tế xã Tân Hưng, Tỉnh Tây Ninh </t>
  </si>
  <si>
    <t>BQL dự án ĐTXD Hà Tiên</t>
  </si>
  <si>
    <t xml:space="preserve">Sở Nội vụ </t>
  </si>
  <si>
    <t>Bql dự án ĐTXD-GT tỉnh An Giang</t>
  </si>
  <si>
    <t>Sở Tài chính TPHCM</t>
  </si>
  <si>
    <t>Ủy ban MTTQ Việt Nam xã
 Thạnh Hóa, tỉnh Tây Ninh</t>
  </si>
  <si>
    <t>UBKT Đảng ủy Phường Phú Lợi, TP.HCM</t>
  </si>
  <si>
    <t>Kiểm toán nhà nước khu vực XII</t>
  </si>
  <si>
    <t>Học viện Chính trị khu vực II</t>
  </si>
  <si>
    <t>Học viện Hàng không Việt Nam - Bộ Xây dựng</t>
  </si>
  <si>
    <t>Tạp chí Khoa học phổ thông</t>
  </si>
  <si>
    <t>Phòng Kinh tế  xã Óc Eo, tỉnh An Giang</t>
  </si>
  <si>
    <t>Phòng Kinh tế xã Tân Thạnh, tỉnh Tây Ninh</t>
  </si>
  <si>
    <t>phường Tân Hòa, TPHCM</t>
  </si>
  <si>
    <t>Trưởng phòng Đối ngoại và Hợp tác quốc tế</t>
  </si>
  <si>
    <t>Trưởng phòng</t>
  </si>
  <si>
    <t xml:space="preserve">UVBTV, PCT UBND </t>
  </si>
  <si>
    <t>Phó trưởng Phòng theo dõi công tác nội chính và cải cách tư pháp</t>
  </si>
  <si>
    <t>Phó Chánh văn phòng HĐND&amp;UBND phường</t>
  </si>
  <si>
    <t>Tổ phó Tổ Tuyên giáo Đối ngoại Thành đoàn</t>
  </si>
  <si>
    <t>Phó trưởng Phòng Quản lý kết cấu và ATGT</t>
  </si>
  <si>
    <t xml:space="preserve">Giảng viên </t>
  </si>
  <si>
    <t>Phó Trưởng phòng</t>
  </si>
  <si>
    <t>Trưởng Phòng Kinh tế</t>
  </si>
  <si>
    <t>Giám đốc Chiếu sáng khu vực Trung Tâm</t>
  </si>
  <si>
    <t>Phó Trưởng ban Văn hóa - Xã hội HĐND phường</t>
  </si>
  <si>
    <t xml:space="preserve">Phó Trưởng phòng Phòng Kiểm tra chuyên ngành </t>
  </si>
  <si>
    <t>VPĐU phụ trách công tác tổ chức</t>
  </si>
  <si>
    <t>Phó Trưởng Ban Xây dựng Đảng</t>
  </si>
  <si>
    <t>Phó Chủ tịch UBND</t>
  </si>
  <si>
    <t>Trưởng phòng</t>
  </si>
  <si>
    <t>Phó Trưởng Ban Tuyên giáo - Công tác xã hội</t>
  </si>
  <si>
    <t>Phó Trưởng ban</t>
  </si>
  <si>
    <t>Phó trưởng phòng PC06</t>
  </si>
  <si>
    <t xml:space="preserve">PCT MTTQ- BT ĐTN </t>
  </si>
  <si>
    <t xml:space="preserve">Phó trưởng ban công tác Hội quần chúng </t>
  </si>
  <si>
    <t xml:space="preserve">Trưởng Trạm Y tế </t>
  </si>
  <si>
    <t>Phó giám đốc</t>
  </si>
  <si>
    <t xml:space="preserve">Phó Chánh Văn phòng </t>
  </si>
  <si>
    <t>Viên chức phòng quản lý khu vực Tứ Giác Long Xuyên</t>
  </si>
  <si>
    <t>Phó Trưởng phòng Phòng Hợp tác công tư và Quản lý nợ</t>
  </si>
  <si>
    <t>Phó chủ tịch Ủy ban MTTQ
 Việt Nam đồng thời Bí thư Đoàn 
TNCS Hồ Chí Minh xã Thạnh Hóa</t>
  </si>
  <si>
    <t>VP HĐND VÀ UBND XÃ ALL</t>
  </si>
  <si>
    <t>Phó Chủ nhiệm</t>
  </si>
  <si>
    <t>Phó Trưởng phòng, Văn phòng</t>
  </si>
  <si>
    <t>Chuyên viên</t>
  </si>
  <si>
    <t>Phó trưởng Khoa Kỹ thuật Hàng không</t>
  </si>
  <si>
    <t>0886438839</t>
  </si>
  <si>
    <t>0907955580</t>
  </si>
  <si>
    <t>0989686857</t>
  </si>
  <si>
    <t>0909838367</t>
  </si>
  <si>
    <t>0378264278</t>
  </si>
  <si>
    <t>0975338090</t>
  </si>
  <si>
    <t>0935485959</t>
  </si>
  <si>
    <t>0919659209</t>
  </si>
  <si>
    <t>0909782034</t>
  </si>
  <si>
    <t>0933921738</t>
  </si>
  <si>
    <t>0989725507</t>
  </si>
  <si>
    <t>0908.340.240</t>
  </si>
  <si>
    <t>0903777349</t>
  </si>
  <si>
    <t>0911758283</t>
  </si>
  <si>
    <t>0932656669</t>
  </si>
  <si>
    <t>0908646597</t>
  </si>
  <si>
    <t>0908771607</t>
  </si>
  <si>
    <t>0914818456</t>
  </si>
  <si>
    <t>0343551251</t>
  </si>
  <si>
    <t>0933981009</t>
  </si>
  <si>
    <t>0942649539</t>
  </si>
  <si>
    <t>0968953817</t>
  </si>
  <si>
    <t>0942600309</t>
  </si>
  <si>
    <t>0902448113</t>
  </si>
  <si>
    <t>0939303305</t>
  </si>
  <si>
    <t>0919276363</t>
  </si>
  <si>
    <t>0903993010</t>
  </si>
  <si>
    <t>0917751083</t>
  </si>
  <si>
    <t>0949544154</t>
  </si>
  <si>
    <t>0904115576</t>
  </si>
  <si>
    <t>0909257825</t>
  </si>
  <si>
    <t>0982052996</t>
  </si>
  <si>
    <t>0937834777</t>
  </si>
  <si>
    <t>Column2</t>
  </si>
  <si>
    <t>10.7694693</t>
  </si>
  <si>
    <t>106.6928983</t>
  </si>
  <si>
    <t>10.76943</t>
  </si>
  <si>
    <t>106.6927151</t>
  </si>
  <si>
    <t>10.7693463</t>
  </si>
  <si>
    <t>106.6924734</t>
  </si>
  <si>
    <t>10.7692489</t>
  </si>
  <si>
    <t>106.692165</t>
  </si>
  <si>
    <t>10.7691409</t>
  </si>
  <si>
    <t>106.6919495</t>
  </si>
  <si>
    <t>10.7689808</t>
  </si>
  <si>
    <t>106.6916038</t>
  </si>
  <si>
    <t>10.7683588</t>
  </si>
  <si>
    <t>106.6915641</t>
  </si>
  <si>
    <t>10.7688457</t>
  </si>
  <si>
    <t>106.6930851</t>
  </si>
  <si>
    <t>10.7687505</t>
  </si>
  <si>
    <t>106.6929747</t>
  </si>
  <si>
    <t>10.7687157</t>
  </si>
  <si>
    <t>106.6928446</t>
  </si>
  <si>
    <t>10.7686151</t>
  </si>
  <si>
    <t>106.6925964</t>
  </si>
  <si>
    <t>10.7684921</t>
  </si>
  <si>
    <t>106.6922642</t>
  </si>
  <si>
    <t>10.7683612</t>
  </si>
  <si>
    <t>106.6919761</t>
  </si>
  <si>
    <t>10.7682133</t>
  </si>
  <si>
    <t>106.6917722</t>
  </si>
  <si>
    <t>10.7681969</t>
  </si>
  <si>
    <t>106.6916581</t>
  </si>
  <si>
    <t>10.7683991</t>
  </si>
  <si>
    <t>106.6915808</t>
  </si>
  <si>
    <t>10.7686489</t>
  </si>
  <si>
    <t>106.6914979</t>
  </si>
  <si>
    <t>10.7688049</t>
  </si>
  <si>
    <t>106.6914506</t>
  </si>
  <si>
    <t>10.7684714</t>
  </si>
  <si>
    <t>10.7682983</t>
  </si>
  <si>
    <t>106.691276</t>
  </si>
  <si>
    <t>10.7684855</t>
  </si>
  <si>
    <t>106.691116</t>
  </si>
  <si>
    <t>10.7706747</t>
  </si>
  <si>
    <t>106.7012118</t>
  </si>
  <si>
    <t>10.7705406</t>
  </si>
  <si>
    <t>106.7013118</t>
  </si>
  <si>
    <t>10.7702685</t>
  </si>
  <si>
    <t>106.701475</t>
  </si>
  <si>
    <t>10.7700638</t>
  </si>
  <si>
    <t>106.7015572</t>
  </si>
  <si>
    <t>10.7698434</t>
  </si>
  <si>
    <t>106.7016599</t>
  </si>
  <si>
    <t>10.7696112</t>
  </si>
  <si>
    <t>106.701752</t>
  </si>
  <si>
    <t>10.7693154</t>
  </si>
  <si>
    <t>106.7018639</t>
  </si>
  <si>
    <t>10.7690938</t>
  </si>
  <si>
    <t>106.7018995</t>
  </si>
  <si>
    <t>10.7688542</t>
  </si>
  <si>
    <t>106.7020078</t>
  </si>
  <si>
    <t>10.7686206</t>
  </si>
  <si>
    <t>106.7021328</t>
  </si>
  <si>
    <t>10.7683838</t>
  </si>
  <si>
    <t>106.7022269</t>
  </si>
  <si>
    <t>10.7788495</t>
  </si>
  <si>
    <t>106.699882</t>
  </si>
  <si>
    <t>10.7788006</t>
  </si>
  <si>
    <t>106.7000872</t>
  </si>
  <si>
    <t>10.7786896</t>
  </si>
  <si>
    <t>106.7001316</t>
  </si>
  <si>
    <t>10.7786112</t>
  </si>
  <si>
    <t>106.7002296</t>
  </si>
  <si>
    <t>K76.A11.415 - LÊ THẾ ANH</t>
  </si>
  <si>
    <t>Column3</t>
  </si>
  <si>
    <t>images1\K76.A11.415 - LÊ THẾ ANH.jpg</t>
  </si>
  <si>
    <t>images1\K76.A11.416 - Trần Ngọc Tuấn Anh.jpg</t>
  </si>
  <si>
    <t>images1\K76.A11.418 - Hoàng Đức Bình.jpg</t>
  </si>
  <si>
    <t>images1\K76.A11.419 - Ngô Thanh Ngọc Cảnh.jpg</t>
  </si>
  <si>
    <t>images1\K76.A11.213 - Nguyễn Văn Chắn.jpg</t>
  </si>
  <si>
    <t>images1\K76.A11.421 - Trương Nhật Cường.jpg</t>
  </si>
  <si>
    <t>images1\K76.A11.425 - Trần Thành Hải.jpg</t>
  </si>
  <si>
    <t>images1\K76.A11.427 - Ngô Văn Hoàng.jpg</t>
  </si>
  <si>
    <t>images1\K76.A11.429 - Lê Mai Huyền.jpg</t>
  </si>
  <si>
    <t>images1\K76.A11.430 - Nguyễn Minh Khoa.jpg</t>
  </si>
  <si>
    <t>images1\K76.A11.433 - Huỳnh Ngọc Tố Loan.jpg</t>
  </si>
  <si>
    <t>images1\K76.A11.434 - Nguyễn Phước Nhật Long.jpg</t>
  </si>
  <si>
    <t>images1\K76.A11.444 - Đinh Viết Thịnh.jpg</t>
  </si>
  <si>
    <t>images1\K76.A11.445 - Trương Văn Thùy.jpg</t>
  </si>
  <si>
    <t>images1\K76.A11.446 - Phạm Thị Mỹ Tiên.jpg</t>
  </si>
  <si>
    <t>images1\K76.A11.449 - Đoàn Bảo Toàn.jpg</t>
  </si>
  <si>
    <t>images1\K76.A11.465 - Ưng Thanh Hải.jpg</t>
  </si>
  <si>
    <t>images1\K76.A11.492 - Lê Nhật Bình.jpg</t>
  </si>
  <si>
    <t>images1\K76.A11.420 - Lâm Mạnh Cường.jpeg</t>
  </si>
  <si>
    <t>images1\K76.A11.422 - Bùi Thị Dung.jpeg</t>
  </si>
  <si>
    <t>images1\K76.A11.424 - Huỳnh Hồng Hải.jpeg</t>
  </si>
  <si>
    <t>images1\K76.A11.428 - Hồ Viết Hùng.jpeg</t>
  </si>
  <si>
    <t>images1\K76.A11.431 - Mai Vũ Lâm.jpeg</t>
  </si>
  <si>
    <t>images1\K76.A11.435 - Kha Kinh Lý.png</t>
  </si>
  <si>
    <t>images1\K76.A11.436 - Nguyễn Thị Mộng Nga.jpeg</t>
  </si>
  <si>
    <t>images1\K76.A11.437 - Trần Võ Trí Nhân.png</t>
  </si>
  <si>
    <t>images1\K76.A11.439 - Nguyễn Thị Lam Phương.jpeg</t>
  </si>
  <si>
    <t>images1\K76.A11.440 - Trương Cao Sáng.jpeg</t>
  </si>
  <si>
    <t>images1\K76.A11.443 - Phạm Thị Thu Thảo.jpeg</t>
  </si>
  <si>
    <t>images1\K76.A11.447 - Lâm Mộc Tiền.jpeg</t>
  </si>
  <si>
    <t>images1\K76.A11.448 - Trần Trung Tín.jpeg</t>
  </si>
  <si>
    <t>images1\K76.A11.450 - Lương Thế Trung.jpeg</t>
  </si>
  <si>
    <t>images1\K76.A11.451 - Nguyễn Đặng Anh Tú.jpeg</t>
  </si>
  <si>
    <t>images1\K76.A11.454 - Phan Thị Bạch Tuyết.jpeg</t>
  </si>
  <si>
    <t>images1\K76.A11.491 - Đỗ Văn Tín.jpeg</t>
  </si>
  <si>
    <t>images1\K76.A11.493 - Lê Thị Minh Hiếu.jpeg</t>
  </si>
  <si>
    <t>images1\K76.A11.455 - PHAN LÊ THANH XUÂN.jpg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</si>
</sst>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10,000,000,000"/>
    <numFmt numFmtId="165" formatCode="#,##0.000000000"/>
    <numFmt numFmtId="166" formatCode="d/m/yyyy"/>
  </numFmts>
  <fonts count="2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.5"/>
      <color rgb="FF000000"/>
      <name val="Calibri"/>
      <family val="2"/>
    </font>
    <font>
      <sz val="16"/>
      <color rgb="FF00000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6"/>
      <color rgb="FF000000"/>
      <name val="Times New Roman"/>
      <family val="1"/>
    </font>
    <font>
      <sz val="10.5"/>
      <color rgb="FF000000"/>
      <name val="Calibri"/>
      <family val="2"/>
    </font>
    <font>
      <sz val="8"/>
      <name val="Aptos Narrow"/>
      <family val="2"/>
      <scheme val="minor"/>
    </font>
    <font>
      <sz val="14"/>
      <color theme="1"/>
      <name val="Times New Roman"/>
      <family val="1"/>
    </font>
    <font>
      <sz val="12"/>
      <color theme="1"/>
      <name val="&quot;Times New Roman&quot;"/>
    </font>
    <font>
      <b/>
      <sz val="12"/>
      <color theme="1"/>
      <name val="&quot;Times New Roman&quot;"/>
    </font>
    <font>
      <sz val="10"/>
      <name val="Arial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rgb="FFFFFF00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78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19" fillId="0" borderId="11"/>
    <xf numFmtId="0" fontId="19" fillId="0" borderId="11"/>
    <xf numFmtId="0" fontId="19" fillId="0" borderId="11"/>
    <xf numFmtId="0" fontId="19" fillId="0" borderId="11"/>
    <xf numFmtId="0" fontId="19" fillId="0" borderId="11"/>
    <xf numFmtId="0" fontId="19" fillId="0" borderId="11"/>
    <xf numFmtId="0" fontId="19" fillId="0" borderId="11"/>
    <xf numFmtId="0" fontId="19" fillId="0" borderId="11"/>
    <xf numFmtId="0" fontId="19" fillId="0" borderId="11"/>
    <xf numFmtId="0" fontId="19" fillId="0" borderId="11"/>
    <xf numFmtId="0" fontId="19" fillId="0" borderId="11"/>
    <xf numFmtId="0" fontId="19" fillId="0" borderId="11"/>
    <xf numFmtId="0" fontId="19" fillId="0" borderId="11"/>
    <xf numFmtId="0" fontId="19" fillId="0" borderId="11"/>
    <xf numFmtId="0" fontId="19" fillId="0" borderId="11"/>
    <xf numFmtId="0" fontId="19" fillId="0" borderId="11"/>
    <xf numFmtId="0" fontId="19" fillId="0" borderId="11"/>
    <xf numFmtId="0" fontId="23" fillId="0" borderId="0"/>
    <xf numFmtId="0" fontId="22" fillId="0" borderId="11"/>
    <xf numFmtId="0" fontId="22" fillId="0" borderId="11"/>
    <xf numFmtId="0" fontId="22" fillId="0" borderId="11"/>
    <xf numFmtId="0" fontId="22" fillId="0" borderId="11"/>
    <xf numFmtId="0" fontId="22" fillId="0" borderId="11"/>
    <xf numFmtId="0" fontId="22" fillId="0" borderId="11"/>
    <xf numFmtId="0" fontId="22" fillId="0" borderId="11"/>
    <xf numFmtId="0" fontId="22" fillId="0" borderId="11"/>
    <xf numFmtId="0" fontId="22" fillId="0" borderId="11"/>
    <xf numFmtId="0" fontId="22" fillId="0" borderId="11"/>
    <xf numFmtId="0" fontId="22" fillId="0" borderId="11"/>
    <xf numFmtId="0" fontId="22" fillId="0" borderId="11"/>
    <xf numFmtId="0" fontId="22" fillId="0" borderId="11"/>
    <xf numFmtId="0" fontId="22" fillId="0" borderId="11"/>
    <xf numFmtId="0" fontId="22" fillId="0" borderId="11"/>
    <xf numFmtId="0" fontId="22" fillId="0" borderId="11"/>
    <xf numFmtId="0" fontId="22" fillId="0" borderId="11"/>
  </cellStyleXfs>
  <cellXfs count="27">
    <xf numFmtId="0" fontId="0" fillId="0" borderId="0" xfId="0"/>
    <xf numFmtId="49" fontId="0" fillId="0" borderId="0" xfId="0" applyNumberFormat="1"/>
    <xf numFmtId="164" fontId="0" fillId="0" borderId="0" xfId="0" applyNumberFormat="1"/>
    <xf numFmtId="0" fontId="0" fillId="34" borderId="10" xfId="0" applyFill="1" applyBorder="1"/>
    <xf numFmtId="0" fontId="13" fillId="33" borderId="0" xfId="0" applyFont="1" applyFill="1"/>
    <xf numFmtId="164" fontId="13" fillId="33" borderId="12" xfId="0" applyNumberFormat="1" applyFont="1" applyFill="1" applyBorder="1"/>
    <xf numFmtId="0" fontId="13" fillId="34" borderId="0" xfId="0" applyFont="1" applyFill="1"/>
    <xf numFmtId="49" fontId="13" fillId="33" borderId="12" xfId="0" applyNumberFormat="1" applyFont="1" applyFill="1" applyBorder="1"/>
    <xf numFmtId="49" fontId="13" fillId="33" borderId="13" xfId="0" applyNumberFormat="1" applyFont="1" applyFill="1" applyBorder="1"/>
    <xf numFmtId="0" fontId="25" fillId="0" borderId="14" xfId="0" applyFont="1" applyBorder="1"/>
    <xf numFmtId="165" fontId="14" fillId="35" borderId="10" xfId="0" applyNumberFormat="1" applyFont="1" applyFill="1" applyBorder="1"/>
    <xf numFmtId="14" fontId="26" fillId="0" borderId="11" xfId="0" applyNumberFormat="1" applyFont="1" applyBorder="1" applyAlignment="1">
      <alignment horizontal="center" vertical="center"/>
    </xf>
    <xf numFmtId="0" fontId="27" fillId="0" borderId="15" xfId="0" applyFont="1" applyBorder="1" applyAlignment="1">
      <alignment horizontal="center" vertical="center" wrapText="1"/>
    </xf>
    <xf numFmtId="0" fontId="28" fillId="0" borderId="16" xfId="0" applyFont="1" applyBorder="1"/>
    <xf numFmtId="0" fontId="26" fillId="0" borderId="11" xfId="0" applyFont="1" applyBorder="1" applyAlignment="1">
      <alignment horizontal="center" vertical="center" wrapText="1"/>
    </xf>
    <xf numFmtId="0" fontId="26" fillId="0" borderId="11" xfId="0" quotePrefix="1" applyFont="1" applyBorder="1" applyAlignment="1">
      <alignment horizontal="center" vertical="center"/>
    </xf>
    <xf numFmtId="0" fontId="26" fillId="0" borderId="11" xfId="0" applyFont="1" applyBorder="1" applyAlignment="1">
      <alignment horizontal="center" vertical="center"/>
    </xf>
    <xf numFmtId="14" fontId="26" fillId="36" borderId="11" xfId="0" applyNumberFormat="1" applyFont="1" applyFill="1" applyBorder="1" applyAlignment="1">
      <alignment horizontal="center" vertical="center"/>
    </xf>
    <xf numFmtId="166" fontId="26" fillId="0" borderId="11" xfId="0" applyNumberFormat="1" applyFont="1" applyBorder="1" applyAlignment="1">
      <alignment horizontal="center" vertical="center"/>
    </xf>
    <xf numFmtId="0" fontId="26" fillId="0" borderId="11" xfId="0" applyFont="1" applyBorder="1" applyAlignment="1">
      <alignment horizontal="left" vertical="center"/>
    </xf>
    <xf numFmtId="0" fontId="26" fillId="36" borderId="11" xfId="0" applyFont="1" applyFill="1" applyBorder="1" applyAlignment="1">
      <alignment horizontal="left" vertical="center"/>
    </xf>
    <xf numFmtId="0" fontId="26" fillId="36" borderId="11" xfId="0" applyFont="1" applyFill="1" applyBorder="1" applyAlignment="1">
      <alignment horizontal="center" vertical="center" wrapText="1"/>
    </xf>
    <xf numFmtId="0" fontId="26" fillId="36" borderId="11" xfId="0" applyFont="1" applyFill="1" applyBorder="1" applyAlignment="1">
      <alignment horizontal="center" vertical="center"/>
    </xf>
    <xf numFmtId="0" fontId="27" fillId="0" borderId="11" xfId="0" quotePrefix="1" applyFont="1" applyBorder="1" applyAlignment="1">
      <alignment horizontal="center" vertical="center"/>
    </xf>
    <xf numFmtId="165" fontId="0" fillId="0" borderId="0" xfId="0" applyNumberFormat="1"/>
    <xf numFmtId="0" fontId="13" fillId="33" borderId="0" xfId="0" applyFont="1" applyFill="1" applyAlignment="1">
      <alignment wrapText="1"/>
    </xf>
    <xf numFmtId="0" fontId="0" fillId="0" borderId="0" xfId="0" applyAlignment="1">
      <alignment wrapText="1"/>
    </xf>
  </cellXfs>
  <cellStyles count="78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79952194-6586-42B8-822C-1A49F0D6AEF9}"/>
    <cellStyle name="Normal 3" xfId="60" xr:uid="{0BD2319E-B378-4050-993B-54BD44E326F0}"/>
    <cellStyle name="Note" xfId="15" builtinId="10" customBuiltin="1"/>
    <cellStyle name="Output" xfId="10" builtinId="21" customBuiltin="1"/>
    <cellStyle name="PoleExportcolumn1" xfId="43" xr:uid="{EBEA4158-2047-4B6D-843B-27758B9F50F9}"/>
    <cellStyle name="PoleExportcolumn1 2" xfId="61" xr:uid="{3712E555-DFA4-47D5-89B9-82F0B2FFB1C3}"/>
    <cellStyle name="PoleExportcolumn10" xfId="52" xr:uid="{D736F050-9EB8-4EF9-A794-BCD943D8352D}"/>
    <cellStyle name="PoleExportcolumn10 2" xfId="70" xr:uid="{D4361497-FA89-49E8-985E-2EDAF564660E}"/>
    <cellStyle name="PoleExportcolumn11" xfId="53" xr:uid="{727AC47E-C573-4FBC-934E-7F6371BDAA61}"/>
    <cellStyle name="PoleExportcolumn11 2" xfId="71" xr:uid="{634335F2-3214-4D5F-A946-F922FE08331A}"/>
    <cellStyle name="PoleExportcolumn12" xfId="54" xr:uid="{E4A1B2DE-6A09-473D-BFB3-BF1B69634F0A}"/>
    <cellStyle name="PoleExportcolumn12 2" xfId="72" xr:uid="{A4A86B09-C085-4583-A1DB-433DD4CE17EE}"/>
    <cellStyle name="PoleExportcolumn13" xfId="55" xr:uid="{F4291634-BB66-4FA1-8914-95B82765B22F}"/>
    <cellStyle name="PoleExportcolumn13 2" xfId="73" xr:uid="{161BCE88-C13F-4C1C-AAD3-48CB26A7A292}"/>
    <cellStyle name="PoleExportcolumn14" xfId="56" xr:uid="{35AF2221-C881-47FF-A84A-C410E61559A4}"/>
    <cellStyle name="PoleExportcolumn14 2" xfId="74" xr:uid="{3D6A5569-FA51-4E3D-BA37-3442FC07B6B0}"/>
    <cellStyle name="PoleExportcolumn15" xfId="57" xr:uid="{8D94F7AA-E08C-4DAF-94BE-0D1A0EB53B52}"/>
    <cellStyle name="PoleExportcolumn15 2" xfId="75" xr:uid="{B269D2A5-F7CE-45EB-813F-B08DAFA5408B}"/>
    <cellStyle name="PoleExportcolumn16" xfId="58" xr:uid="{84A9AF24-C14A-48C7-95FE-C819680E8E9D}"/>
    <cellStyle name="PoleExportcolumn16 2" xfId="76" xr:uid="{BEB9C07F-EDBD-4A85-BB9B-A139A60A2B51}"/>
    <cellStyle name="PoleExportcolumn17" xfId="59" xr:uid="{1A3E5583-F764-48E7-8F2B-2A49E6886E74}"/>
    <cellStyle name="PoleExportcolumn17 2" xfId="77" xr:uid="{75B27D99-1B88-4DAA-B5D1-73784E24F261}"/>
    <cellStyle name="PoleExportcolumn2" xfId="44" xr:uid="{72C4A887-FFE3-428F-8F2B-B8AA541F9E40}"/>
    <cellStyle name="PoleExportcolumn2 2" xfId="62" xr:uid="{810EB007-C3D7-4A61-B3BC-FBCE15FEF64E}"/>
    <cellStyle name="PoleExportcolumn3" xfId="45" xr:uid="{2D1406F8-AA20-4099-B8ED-80F94E4976C9}"/>
    <cellStyle name="PoleExportcolumn3 2" xfId="63" xr:uid="{04CC16FB-479E-429E-993C-3A5AF7346B20}"/>
    <cellStyle name="PoleExportcolumn4" xfId="46" xr:uid="{4136D523-6489-44ED-8BAB-5616570F0865}"/>
    <cellStyle name="PoleExportcolumn4 2" xfId="64" xr:uid="{D2E5CFB0-4018-4462-8E49-F840C5CEF17E}"/>
    <cellStyle name="PoleExportcolumn5" xfId="47" xr:uid="{47CD076C-E58F-4AC7-B68C-0564AA4960EE}"/>
    <cellStyle name="PoleExportcolumn5 2" xfId="65" xr:uid="{63C3CC31-21EE-4643-A28E-50FDA58611C6}"/>
    <cellStyle name="PoleExportcolumn6" xfId="48" xr:uid="{32DE67EA-8CA5-4724-AA53-5B71F9B2D6BD}"/>
    <cellStyle name="PoleExportcolumn6 2" xfId="66" xr:uid="{EA95E5E7-9289-4A9F-A48D-7EEBFEB2B124}"/>
    <cellStyle name="PoleExportcolumn7" xfId="49" xr:uid="{204EBFAE-B909-4F70-89CC-194D78264369}"/>
    <cellStyle name="PoleExportcolumn7 2" xfId="67" xr:uid="{90FE5A42-9ED2-4BF7-B437-C92EEAB1B5A2}"/>
    <cellStyle name="PoleExportcolumn8" xfId="50" xr:uid="{821226FA-4625-4E95-8C1C-5DF657895667}"/>
    <cellStyle name="PoleExportcolumn8 2" xfId="68" xr:uid="{FE6AE778-7855-4A32-87EC-6BB69A31418C}"/>
    <cellStyle name="PoleExportcolumn9" xfId="51" xr:uid="{70F42C5F-0098-448F-A1EE-A182D128BBF5}"/>
    <cellStyle name="PoleExportcolumn9 2" xfId="69" xr:uid="{76A5493C-9E3E-4855-A67B-50DDAFA0FC5F}"/>
    <cellStyle name="Title" xfId="1" builtinId="15" customBuiltin="1"/>
    <cellStyle name="Total" xfId="17" builtinId="25" customBuiltin="1"/>
    <cellStyle name="Warning Text" xfId="14" builtinId="11" customBuiltin="1"/>
  </cellStyles>
  <dxfs count="13">
    <dxf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/>
      </border>
    </dxf>
    <dxf>
      <numFmt numFmtId="165" formatCode="#,##0.000000000"/>
    </dxf>
    <dxf>
      <numFmt numFmtId="30" formatCode="@"/>
    </dxf>
    <dxf>
      <numFmt numFmtId="165" formatCode="#,##0.000000000"/>
    </dxf>
    <dxf>
      <font>
        <sz val="14"/>
        <name val="Times New Roman"/>
        <family val="1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3" formatCode="#,##0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rial"/>
        <family val="2"/>
        <scheme val="minor"/>
      </font>
      <numFmt numFmtId="165" formatCode="#,##0.000000000"/>
      <fill>
        <patternFill patternType="solid">
          <fgColor indexed="64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rial"/>
        <family val="2"/>
        <scheme val="minor"/>
      </font>
      <numFmt numFmtId="165" formatCode="#,##0.000000000"/>
      <fill>
        <patternFill patternType="solid">
          <fgColor indexed="64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7F7D91B-22BC-49D0-B4E3-985709940F43}" name="Table1" displayName="Table1" ref="A1:R38" totalsRowShown="0" headerRowDxfId="12" tableBorderDxfId="11">
  <autoFilter ref="A1:R38" xr:uid="{57F7D91B-22BC-49D0-B4E3-985709940F43}"/>
  <tableColumns count="18">
    <tableColumn id="1" xr3:uid="{C6718836-1ADA-436E-8248-FEF66CCE4679}" name="ID" dataDxfId="4"/>
    <tableColumn id="2" xr3:uid="{50D8814C-95FB-4254-AC87-8B23CB11EAF5}" name="name"/>
    <tableColumn id="3" xr3:uid="{62737F73-6B22-452A-AA5E-4D77D788AA2D}" name="latitude" dataDxfId="10"/>
    <tableColumn id="4" xr3:uid="{F21613BC-6878-4C9F-98A8-BC3B7671840C}" name="longtitude" dataDxfId="9"/>
    <tableColumn id="5" xr3:uid="{510B7215-A02C-4542-8653-A22DB7A9E34A}" name="Ngày tháng năm sinh" dataDxfId="8"/>
    <tableColumn id="6" xr3:uid="{98930E79-6C50-4716-9779-BFEB7232C21A}" name="Nơi sinh" dataDxfId="7"/>
    <tableColumn id="7" xr3:uid="{5B88161E-6793-4B8B-953A-E29DF281AC2A}" name="Trang thai" dataDxfId="6"/>
    <tableColumn id="8" xr3:uid="{F14CF674-60AB-457D-8F81-7066099A99A1}" name="Địa chỉ nhà riêng"/>
    <tableColumn id="9" xr3:uid="{B71AA026-436C-413D-A83D-3FFE57B4E539}" name="Địa chỉ cơ quan"/>
    <tableColumn id="10" xr3:uid="{29867B4B-511F-4E54-AD8C-429218320076}" name="Điện thoại 1"/>
    <tableColumn id="11" xr3:uid="{3C176B24-BC31-4895-B05B-BE9F026B3FBF}" name="Điện thoại 2"/>
    <tableColumn id="12" xr3:uid="{D23D0C74-146D-4AE1-8936-E72E3FA5E682}" name="Facebook"/>
    <tableColumn id="13" xr3:uid="{2E5CBD41-DDA4-4783-9CDE-2F945C2B6CA4}" name="Cơ quan công tác" dataDxfId="5"/>
    <tableColumn id="14" xr3:uid="{0E91CC63-5479-4A19-A656-FEE472B5A82A}" name="Chức vụ" dataDxfId="2"/>
    <tableColumn id="15" xr3:uid="{86832328-0689-4201-A364-F022F802AB84}" name="Hình ảnh" dataDxfId="0"/>
    <tableColumn id="16" xr3:uid="{C443B20D-CD6F-42C7-8638-34F34C6AD218}" name="Column1" dataDxfId="1">
      <calculatedColumnFormula>LEFT(R2,2)&amp;"."&amp;RIGHT(R2,LEN(R2)-2)</calculatedColumnFormula>
    </tableColumn>
    <tableColumn id="17" xr3:uid="{DEE884DB-888C-4D77-9FFD-EFB9FAFA2C62}" name="Column2" dataDxfId="3"/>
    <tableColumn id="18" xr3:uid="{D332D7B8-A071-43A4-BB24-E59E4EBADA15}" name="Column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73E56-9A8C-4B3E-BC42-A6E3991962E7}">
  <sheetPr codeName="Sheet1"/>
  <dimension ref="A1:R38"/>
  <sheetViews>
    <sheetView tabSelected="1" topLeftCell="F1" zoomScale="115" zoomScaleNormal="115" workbookViewId="0">
      <pane ySplit="1" topLeftCell="A33" activePane="bottomLeft" state="frozen"/>
      <selection pane="bottomLeft" activeCell="O33" sqref="O33"/>
    </sheetView>
  </sheetViews>
  <sheetFormatPr defaultRowHeight="15"/>
  <cols>
    <col min="1" max="1" width="15.5703125" bestFit="1" customWidth="1"/>
    <col min="2" max="2" width="25.5703125" bestFit="1" customWidth="1"/>
    <col min="3" max="3" width="21.85546875" style="2" bestFit="1" customWidth="1"/>
    <col min="4" max="4" width="19.7109375" bestFit="1" customWidth="1"/>
    <col min="5" max="5" width="14.42578125" bestFit="1" customWidth="1"/>
    <col min="6" max="6" width="14.7109375" bestFit="1" customWidth="1"/>
    <col min="7" max="7" width="11.7109375" style="3" customWidth="1"/>
    <col min="8" max="8" width="14.85546875" customWidth="1"/>
    <col min="9" max="9" width="16" bestFit="1" customWidth="1"/>
    <col min="10" max="10" width="14.42578125" bestFit="1" customWidth="1"/>
    <col min="11" max="11" width="10.28515625" customWidth="1"/>
    <col min="12" max="12" width="9.140625" customWidth="1"/>
    <col min="13" max="13" width="15.42578125" style="1" bestFit="1" customWidth="1"/>
    <col min="14" max="14" width="14.42578125" style="1" bestFit="1" customWidth="1"/>
    <col min="15" max="15" width="35.85546875" style="26" bestFit="1" customWidth="1"/>
    <col min="16" max="16" width="13.42578125" bestFit="1" customWidth="1"/>
    <col min="17" max="17" width="14.42578125" bestFit="1" customWidth="1"/>
  </cols>
  <sheetData>
    <row r="1" spans="1:18" ht="15" customHeight="1">
      <c r="A1" s="4" t="s">
        <v>4</v>
      </c>
      <c r="B1" s="4" t="s">
        <v>2</v>
      </c>
      <c r="C1" s="5" t="s">
        <v>0</v>
      </c>
      <c r="D1" s="4" t="s">
        <v>1</v>
      </c>
      <c r="E1" s="12" t="s">
        <v>87</v>
      </c>
      <c r="F1" s="4" t="s">
        <v>98</v>
      </c>
      <c r="G1" s="6" t="s">
        <v>3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7" t="s">
        <v>12</v>
      </c>
      <c r="N1" s="8" t="s">
        <v>13</v>
      </c>
      <c r="O1" s="25" t="s">
        <v>14</v>
      </c>
      <c r="P1" s="4" t="s">
        <v>17</v>
      </c>
      <c r="Q1" s="4" t="s">
        <v>229</v>
      </c>
      <c r="R1" s="4" t="s">
        <v>302</v>
      </c>
    </row>
    <row r="2" spans="1:18" ht="90">
      <c r="A2" s="9" t="s">
        <v>18</v>
      </c>
      <c r="B2" s="3" t="s">
        <v>54</v>
      </c>
      <c r="C2" t="s">
        <v>230</v>
      </c>
      <c r="D2" t="s">
        <v>231</v>
      </c>
      <c r="E2" s="13"/>
      <c r="F2" s="14" t="s">
        <v>99</v>
      </c>
      <c r="H2" s="3"/>
      <c r="I2" s="3"/>
      <c r="J2" s="15" t="s">
        <v>92</v>
      </c>
      <c r="K2" s="3">
        <v>456</v>
      </c>
      <c r="L2" s="3" t="s">
        <v>15</v>
      </c>
      <c r="M2" s="14" t="s">
        <v>90</v>
      </c>
      <c r="N2" s="14" t="s">
        <v>88</v>
      </c>
      <c r="O2" s="26" t="s">
        <v>303</v>
      </c>
      <c r="P2" s="24" t="str">
        <f t="shared" ref="P2:P38" si="0">LEFT(R2,2)&amp;"."&amp;RIGHT(R2,LEN(R2)-2)</f>
        <v>K7.6.A11.415 - LÊ THẾ ANH</v>
      </c>
      <c r="Q2" s="24"/>
      <c r="R2" t="s">
        <v>301</v>
      </c>
    </row>
    <row r="3" spans="1:18" ht="45">
      <c r="A3" s="9" t="s">
        <v>19</v>
      </c>
      <c r="B3" s="3" t="s">
        <v>6</v>
      </c>
      <c r="C3" t="s">
        <v>232</v>
      </c>
      <c r="D3" t="s">
        <v>233</v>
      </c>
      <c r="E3" s="11">
        <v>31937</v>
      </c>
      <c r="F3" s="14" t="s">
        <v>100</v>
      </c>
      <c r="H3" s="3"/>
      <c r="I3" s="3"/>
      <c r="J3" s="15" t="s">
        <v>93</v>
      </c>
      <c r="K3" s="3">
        <v>123456</v>
      </c>
      <c r="L3" s="3" t="s">
        <v>16</v>
      </c>
      <c r="M3" s="14" t="s">
        <v>91</v>
      </c>
      <c r="N3" s="14" t="s">
        <v>89</v>
      </c>
      <c r="O3" s="26" t="s">
        <v>304</v>
      </c>
      <c r="P3" s="24" t="str">
        <f t="shared" si="0"/>
        <v>K7.6.A11.416 - Trần Ngọc Tuấn Anh</v>
      </c>
      <c r="Q3" s="24"/>
      <c r="R3" t="str">
        <f>Table1[[#This Row],[ID]]&amp;" - "&amp;Table1[[#This Row],[name]]</f>
        <v>K76.A11.416 - Trần Ngọc Tuấn Anh</v>
      </c>
    </row>
    <row r="4" spans="1:18" ht="75">
      <c r="A4" s="19" t="s">
        <v>20</v>
      </c>
      <c r="B4" t="s">
        <v>55</v>
      </c>
      <c r="C4" t="s">
        <v>234</v>
      </c>
      <c r="D4" t="s">
        <v>235</v>
      </c>
      <c r="E4" s="11">
        <v>32216</v>
      </c>
      <c r="F4" s="14" t="s">
        <v>100</v>
      </c>
      <c r="J4" s="15" t="s">
        <v>196</v>
      </c>
      <c r="M4" s="14" t="s">
        <v>159</v>
      </c>
      <c r="N4" s="14" t="s">
        <v>163</v>
      </c>
      <c r="O4" s="26" t="s">
        <v>305</v>
      </c>
      <c r="P4" s="10" t="str">
        <f t="shared" si="0"/>
        <v>K7.6.A11.418 - Hoàng Đức Bình</v>
      </c>
      <c r="Q4" s="10"/>
      <c r="R4" t="str">
        <f>Table1[[#This Row],[ID]]&amp;" - "&amp;Table1[[#This Row],[name]]</f>
        <v>K76.A11.418 - Hoàng Đức Bình</v>
      </c>
    </row>
    <row r="5" spans="1:18" ht="45">
      <c r="A5" s="19" t="s">
        <v>21</v>
      </c>
      <c r="B5" t="s">
        <v>56</v>
      </c>
      <c r="C5" t="s">
        <v>236</v>
      </c>
      <c r="D5" t="s">
        <v>237</v>
      </c>
      <c r="E5" s="11">
        <v>29032</v>
      </c>
      <c r="F5" s="14" t="s">
        <v>101</v>
      </c>
      <c r="J5" s="15" t="s">
        <v>197</v>
      </c>
      <c r="M5" s="14" t="s">
        <v>160</v>
      </c>
      <c r="N5" s="14" t="s">
        <v>164</v>
      </c>
      <c r="O5" s="26" t="s">
        <v>306</v>
      </c>
      <c r="P5" s="24" t="str">
        <f t="shared" si="0"/>
        <v>K7.6.A11.419 - Ngô Thanh Ngọc Cảnh</v>
      </c>
      <c r="Q5" s="24"/>
      <c r="R5" t="str">
        <f>Table1[[#This Row],[ID]]&amp;" - "&amp;Table1[[#This Row],[name]]</f>
        <v>K76.A11.419 - Ngô Thanh Ngọc Cảnh</v>
      </c>
    </row>
    <row r="6" spans="1:18" ht="60">
      <c r="A6" s="19" t="s">
        <v>22</v>
      </c>
      <c r="B6" t="s">
        <v>57</v>
      </c>
      <c r="C6" t="s">
        <v>238</v>
      </c>
      <c r="D6" t="s">
        <v>239</v>
      </c>
      <c r="E6" s="11">
        <v>31229</v>
      </c>
      <c r="F6" s="14" t="s">
        <v>102</v>
      </c>
      <c r="J6" s="15" t="s">
        <v>198</v>
      </c>
      <c r="M6" s="14" t="s">
        <v>161</v>
      </c>
      <c r="N6" s="14" t="s">
        <v>164</v>
      </c>
      <c r="O6" s="26" t="s">
        <v>307</v>
      </c>
      <c r="P6" s="24" t="str">
        <f t="shared" si="0"/>
        <v>K7.6.A11.213 - Nguyễn Văn Chắn</v>
      </c>
      <c r="Q6" s="24"/>
      <c r="R6" t="str">
        <f>Table1[[#This Row],[ID]]&amp;" - "&amp;Table1[[#This Row],[name]]</f>
        <v>K76.A11.213 - Nguyễn Văn Chắn</v>
      </c>
    </row>
    <row r="7" spans="1:18" ht="45">
      <c r="A7" s="19" t="s">
        <v>23</v>
      </c>
      <c r="B7" t="s">
        <v>58</v>
      </c>
      <c r="C7" t="s">
        <v>240</v>
      </c>
      <c r="D7" t="s">
        <v>241</v>
      </c>
      <c r="E7" s="11">
        <v>31244</v>
      </c>
      <c r="F7" s="14" t="s">
        <v>103</v>
      </c>
      <c r="J7" s="15" t="s">
        <v>199</v>
      </c>
      <c r="M7" s="14" t="s">
        <v>162</v>
      </c>
      <c r="N7" s="14" t="s">
        <v>165</v>
      </c>
      <c r="O7" s="26" t="s">
        <v>321</v>
      </c>
      <c r="P7" s="24" t="str">
        <f t="shared" si="0"/>
        <v>K7.6.A11.420 - Lâm Mạnh Cường</v>
      </c>
      <c r="Q7" s="24"/>
      <c r="R7" t="str">
        <f>Table1[[#This Row],[ID]]&amp;" - "&amp;Table1[[#This Row],[name]]</f>
        <v>K76.A11.420 - Lâm Mạnh Cường</v>
      </c>
    </row>
    <row r="8" spans="1:18" ht="30">
      <c r="A8" s="20" t="s">
        <v>24</v>
      </c>
      <c r="B8" t="s">
        <v>59</v>
      </c>
      <c r="C8" t="s">
        <v>242</v>
      </c>
      <c r="D8" t="s">
        <v>243</v>
      </c>
      <c r="E8" s="17">
        <v>31136</v>
      </c>
      <c r="F8" s="21"/>
      <c r="J8" s="22"/>
      <c r="M8" s="21"/>
      <c r="N8" s="21"/>
      <c r="O8" s="26" t="s">
        <v>308</v>
      </c>
      <c r="P8" s="24" t="str">
        <f t="shared" si="0"/>
        <v>K7.6.A11.421 - Trương Nhật Cường</v>
      </c>
      <c r="Q8" s="24"/>
      <c r="R8" t="str">
        <f>Table1[[#This Row],[ID]]&amp;" - "&amp;Table1[[#This Row],[name]]</f>
        <v>K76.A11.421 - Trương Nhật Cường</v>
      </c>
    </row>
    <row r="9" spans="1:18" ht="90">
      <c r="A9" s="19" t="s">
        <v>25</v>
      </c>
      <c r="B9" t="s">
        <v>60</v>
      </c>
      <c r="C9" t="s">
        <v>244</v>
      </c>
      <c r="D9" t="s">
        <v>245</v>
      </c>
      <c r="E9" s="11">
        <v>32821</v>
      </c>
      <c r="F9" s="14" t="s">
        <v>104</v>
      </c>
      <c r="J9" s="15" t="s">
        <v>200</v>
      </c>
      <c r="M9" s="14" t="s">
        <v>131</v>
      </c>
      <c r="N9" s="14" t="s">
        <v>166</v>
      </c>
      <c r="O9" s="26" t="s">
        <v>322</v>
      </c>
      <c r="P9" s="24" t="str">
        <f t="shared" si="0"/>
        <v>K7.6.A11.422 - Bùi Thị Dung</v>
      </c>
      <c r="Q9" s="24"/>
      <c r="R9" t="str">
        <f>Table1[[#This Row],[ID]]&amp;" - "&amp;Table1[[#This Row],[name]]</f>
        <v>K76.A11.422 - Bùi Thị Dung</v>
      </c>
    </row>
    <row r="10" spans="1:18" ht="75">
      <c r="A10" s="19" t="s">
        <v>26</v>
      </c>
      <c r="B10" t="s">
        <v>61</v>
      </c>
      <c r="C10" t="s">
        <v>246</v>
      </c>
      <c r="D10" t="s">
        <v>247</v>
      </c>
      <c r="E10" s="11">
        <v>33018</v>
      </c>
      <c r="F10" s="14" t="s">
        <v>105</v>
      </c>
      <c r="J10" s="15" t="s">
        <v>201</v>
      </c>
      <c r="M10" s="14" t="s">
        <v>132</v>
      </c>
      <c r="N10" s="14" t="s">
        <v>167</v>
      </c>
      <c r="O10" s="26" t="s">
        <v>323</v>
      </c>
      <c r="P10" s="24" t="str">
        <f t="shared" si="0"/>
        <v>K7.6.A11.424 - Huỳnh Hồng Hải</v>
      </c>
      <c r="Q10" s="24"/>
      <c r="R10" t="str">
        <f>Table1[[#This Row],[ID]]&amp;" - "&amp;Table1[[#This Row],[name]]</f>
        <v>K76.A11.424 - Huỳnh Hồng Hải</v>
      </c>
    </row>
    <row r="11" spans="1:18" ht="60">
      <c r="A11" s="19" t="s">
        <v>27</v>
      </c>
      <c r="B11" t="s">
        <v>62</v>
      </c>
      <c r="C11" t="s">
        <v>248</v>
      </c>
      <c r="D11" t="s">
        <v>249</v>
      </c>
      <c r="E11" s="11">
        <v>33769</v>
      </c>
      <c r="F11" s="21"/>
      <c r="J11" s="16">
        <v>911652445</v>
      </c>
      <c r="M11" s="14" t="s">
        <v>133</v>
      </c>
      <c r="N11" s="14" t="s">
        <v>168</v>
      </c>
      <c r="O11" s="26" t="s">
        <v>309</v>
      </c>
      <c r="P11" s="24" t="str">
        <f t="shared" si="0"/>
        <v>K7.6.A11.425 - Trần Thành Hải</v>
      </c>
      <c r="Q11" s="24"/>
      <c r="R11" t="str">
        <f>Table1[[#This Row],[ID]]&amp;" - "&amp;Table1[[#This Row],[name]]</f>
        <v>K76.A11.425 - Trần Thành Hải</v>
      </c>
    </row>
    <row r="12" spans="1:18" ht="60">
      <c r="A12" s="19" t="s">
        <v>28</v>
      </c>
      <c r="B12" t="s">
        <v>63</v>
      </c>
      <c r="C12" t="s">
        <v>250</v>
      </c>
      <c r="D12" t="s">
        <v>251</v>
      </c>
      <c r="E12" s="18">
        <v>30314</v>
      </c>
      <c r="F12" s="14" t="s">
        <v>106</v>
      </c>
      <c r="J12" s="15" t="s">
        <v>202</v>
      </c>
      <c r="M12" s="14" t="s">
        <v>134</v>
      </c>
      <c r="N12" s="14" t="s">
        <v>169</v>
      </c>
      <c r="O12" s="26" t="s">
        <v>310</v>
      </c>
      <c r="P12" s="24" t="str">
        <f t="shared" si="0"/>
        <v>K7.6.A11.427 - Ngô Văn Hoàng</v>
      </c>
      <c r="Q12" s="24"/>
      <c r="R12" t="str">
        <f>Table1[[#This Row],[ID]]&amp;" - "&amp;Table1[[#This Row],[name]]</f>
        <v>K76.A11.427 - Ngô Văn Hoàng</v>
      </c>
    </row>
    <row r="13" spans="1:18" ht="45">
      <c r="A13" s="19" t="s">
        <v>29</v>
      </c>
      <c r="B13" t="s">
        <v>64</v>
      </c>
      <c r="C13" t="s">
        <v>252</v>
      </c>
      <c r="D13" t="s">
        <v>253</v>
      </c>
      <c r="E13" s="11">
        <v>30075</v>
      </c>
      <c r="F13" s="14" t="s">
        <v>107</v>
      </c>
      <c r="J13" s="15" t="s">
        <v>203</v>
      </c>
      <c r="M13" s="14" t="s">
        <v>135</v>
      </c>
      <c r="N13" s="14" t="s">
        <v>170</v>
      </c>
      <c r="O13" s="26" t="s">
        <v>324</v>
      </c>
      <c r="P13" s="24" t="str">
        <f t="shared" si="0"/>
        <v>K7.6.A11.428 - Hồ Viết Hùng</v>
      </c>
      <c r="Q13" s="24"/>
      <c r="R13" t="str">
        <f>Table1[[#This Row],[ID]]&amp;" - "&amp;Table1[[#This Row],[name]]</f>
        <v>K76.A11.428 - Hồ Viết Hùng</v>
      </c>
    </row>
    <row r="14" spans="1:18" ht="45">
      <c r="A14" s="19" t="s">
        <v>30</v>
      </c>
      <c r="B14" t="s">
        <v>65</v>
      </c>
      <c r="C14" t="s">
        <v>254</v>
      </c>
      <c r="D14" t="s">
        <v>255</v>
      </c>
      <c r="E14" s="11">
        <v>30424</v>
      </c>
      <c r="F14" s="14" t="s">
        <v>108</v>
      </c>
      <c r="J14" s="15" t="s">
        <v>204</v>
      </c>
      <c r="M14" s="14" t="s">
        <v>136</v>
      </c>
      <c r="N14" s="14" t="s">
        <v>171</v>
      </c>
      <c r="O14" s="26" t="s">
        <v>311</v>
      </c>
      <c r="P14" s="24" t="str">
        <f t="shared" si="0"/>
        <v>K7.6.A11.429 - Lê Mai Huyền</v>
      </c>
      <c r="Q14" s="24"/>
      <c r="R14" t="str">
        <f>Table1[[#This Row],[ID]]&amp;" - "&amp;Table1[[#This Row],[name]]</f>
        <v>K76.A11.429 - Lê Mai Huyền</v>
      </c>
    </row>
    <row r="15" spans="1:18" ht="45">
      <c r="A15" s="19" t="s">
        <v>31</v>
      </c>
      <c r="B15" t="s">
        <v>66</v>
      </c>
      <c r="C15" t="s">
        <v>256</v>
      </c>
      <c r="D15" t="s">
        <v>257</v>
      </c>
      <c r="E15" s="11">
        <v>31446</v>
      </c>
      <c r="F15" s="14" t="s">
        <v>109</v>
      </c>
      <c r="J15" s="23" t="s">
        <v>205</v>
      </c>
      <c r="M15" s="14" t="s">
        <v>137</v>
      </c>
      <c r="N15" s="14" t="s">
        <v>172</v>
      </c>
      <c r="O15" s="26" t="s">
        <v>312</v>
      </c>
      <c r="P15" s="24" t="str">
        <f t="shared" si="0"/>
        <v>K7.6.A11.430 - Nguyễn Minh Khoa</v>
      </c>
      <c r="Q15" s="24"/>
      <c r="R15" t="str">
        <f>Table1[[#This Row],[ID]]&amp;" - "&amp;Table1[[#This Row],[name]]</f>
        <v>K76.A11.430 - Nguyễn Minh Khoa</v>
      </c>
    </row>
    <row r="16" spans="1:18" ht="60">
      <c r="A16" s="19" t="s">
        <v>32</v>
      </c>
      <c r="B16" t="s">
        <v>5</v>
      </c>
      <c r="C16" t="s">
        <v>258</v>
      </c>
      <c r="D16" t="s">
        <v>259</v>
      </c>
      <c r="E16" s="11">
        <v>30147</v>
      </c>
      <c r="F16" s="14" t="s">
        <v>110</v>
      </c>
      <c r="J16" s="15" t="s">
        <v>206</v>
      </c>
      <c r="M16" s="14" t="s">
        <v>138</v>
      </c>
      <c r="N16" s="14" t="s">
        <v>173</v>
      </c>
      <c r="O16" s="26" t="s">
        <v>325</v>
      </c>
      <c r="P16" s="24" t="str">
        <f t="shared" si="0"/>
        <v>K7.6.A11.431 - Mai Vũ Lâm</v>
      </c>
      <c r="Q16" s="24"/>
      <c r="R16" t="str">
        <f>Table1[[#This Row],[ID]]&amp;" - "&amp;Table1[[#This Row],[name]]</f>
        <v>K76.A11.431 - Mai Vũ Lâm</v>
      </c>
    </row>
    <row r="17" spans="1:18" ht="75">
      <c r="A17" s="19" t="s">
        <v>33</v>
      </c>
      <c r="B17" t="s">
        <v>67</v>
      </c>
      <c r="C17" t="s">
        <v>260</v>
      </c>
      <c r="D17" t="s">
        <v>261</v>
      </c>
      <c r="E17" s="11">
        <v>31249</v>
      </c>
      <c r="F17" s="14" t="s">
        <v>111</v>
      </c>
      <c r="J17" s="15" t="s">
        <v>207</v>
      </c>
      <c r="M17" s="14" t="s">
        <v>139</v>
      </c>
      <c r="N17" s="14" t="s">
        <v>174</v>
      </c>
      <c r="O17" s="26" t="s">
        <v>313</v>
      </c>
      <c r="P17" s="24" t="str">
        <f t="shared" si="0"/>
        <v>K7.6.A11.433 - Huỳnh Ngọc Tố Loan</v>
      </c>
      <c r="Q17" s="24"/>
      <c r="R17" t="str">
        <f>Table1[[#This Row],[ID]]&amp;" - "&amp;Table1[[#This Row],[name]]</f>
        <v>K76.A11.433 - Huỳnh Ngọc Tố Loan</v>
      </c>
    </row>
    <row r="18" spans="1:18" ht="75">
      <c r="A18" s="19" t="s">
        <v>34</v>
      </c>
      <c r="B18" t="s">
        <v>68</v>
      </c>
      <c r="C18" t="s">
        <v>262</v>
      </c>
      <c r="D18" t="s">
        <v>263</v>
      </c>
      <c r="E18" s="11">
        <v>26926</v>
      </c>
      <c r="F18" s="14" t="s">
        <v>112</v>
      </c>
      <c r="J18" s="15" t="s">
        <v>208</v>
      </c>
      <c r="M18" s="14" t="s">
        <v>140</v>
      </c>
      <c r="N18" s="14" t="s">
        <v>175</v>
      </c>
      <c r="O18" s="26" t="s">
        <v>314</v>
      </c>
      <c r="P18" s="24" t="str">
        <f t="shared" si="0"/>
        <v>K7.6.A11.434 - Nguyễn Phước Nhật Long</v>
      </c>
      <c r="Q18" s="24"/>
      <c r="R18" t="str">
        <f>Table1[[#This Row],[ID]]&amp;" - "&amp;Table1[[#This Row],[name]]</f>
        <v>K76.A11.434 - Nguyễn Phước Nhật Long</v>
      </c>
    </row>
    <row r="19" spans="1:18" ht="60">
      <c r="A19" s="19" t="s">
        <v>35</v>
      </c>
      <c r="B19" t="s">
        <v>69</v>
      </c>
      <c r="C19" t="s">
        <v>264</v>
      </c>
      <c r="D19" t="s">
        <v>265</v>
      </c>
      <c r="E19" s="11">
        <v>31953</v>
      </c>
      <c r="F19" s="14" t="s">
        <v>113</v>
      </c>
      <c r="J19" s="15" t="s">
        <v>209</v>
      </c>
      <c r="M19" s="14" t="s">
        <v>141</v>
      </c>
      <c r="N19" s="14" t="s">
        <v>176</v>
      </c>
      <c r="O19" s="26" t="s">
        <v>326</v>
      </c>
      <c r="P19" s="24" t="str">
        <f t="shared" si="0"/>
        <v>K7.6.A11.435 - Kha Kinh Lý</v>
      </c>
      <c r="Q19" s="24"/>
      <c r="R19" t="str">
        <f>Table1[[#This Row],[ID]]&amp;" - "&amp;Table1[[#This Row],[name]]</f>
        <v>K76.A11.435 - Kha Kinh Lý</v>
      </c>
    </row>
    <row r="20" spans="1:18" ht="75">
      <c r="A20" s="19" t="s">
        <v>36</v>
      </c>
      <c r="B20" t="s">
        <v>70</v>
      </c>
      <c r="C20" t="s">
        <v>266</v>
      </c>
      <c r="D20" t="s">
        <v>265</v>
      </c>
      <c r="E20" s="11">
        <v>30914</v>
      </c>
      <c r="F20" s="14" t="s">
        <v>114</v>
      </c>
      <c r="J20" s="15" t="s">
        <v>210</v>
      </c>
      <c r="M20" s="14" t="s">
        <v>142</v>
      </c>
      <c r="N20" s="14" t="s">
        <v>177</v>
      </c>
      <c r="O20" s="26" t="s">
        <v>327</v>
      </c>
      <c r="P20" s="24" t="str">
        <f t="shared" si="0"/>
        <v>K7.6.A11.436 - Nguyễn Thị Mộng Nga</v>
      </c>
      <c r="Q20" s="24"/>
      <c r="R20" t="str">
        <f>Table1[[#This Row],[ID]]&amp;" - "&amp;Table1[[#This Row],[name]]</f>
        <v>K76.A11.436 - Nguyễn Thị Mộng Nga</v>
      </c>
    </row>
    <row r="21" spans="1:18" ht="45">
      <c r="A21" s="19" t="s">
        <v>37</v>
      </c>
      <c r="B21" t="s">
        <v>71</v>
      </c>
      <c r="C21" t="s">
        <v>267</v>
      </c>
      <c r="D21" t="s">
        <v>268</v>
      </c>
      <c r="E21" s="18">
        <v>29935</v>
      </c>
      <c r="F21" s="14" t="s">
        <v>115</v>
      </c>
      <c r="J21" s="15" t="s">
        <v>211</v>
      </c>
      <c r="M21" s="14" t="s">
        <v>137</v>
      </c>
      <c r="N21" s="14" t="s">
        <v>178</v>
      </c>
      <c r="O21" s="26" t="s">
        <v>328</v>
      </c>
      <c r="P21" s="24" t="str">
        <f t="shared" si="0"/>
        <v>K7.6.A11.437 - Trần Võ Trí Nhân</v>
      </c>
      <c r="Q21" s="24"/>
      <c r="R21" t="str">
        <f>Table1[[#This Row],[ID]]&amp;" - "&amp;Table1[[#This Row],[name]]</f>
        <v>K76.A11.437 - Trần Võ Trí Nhân</v>
      </c>
    </row>
    <row r="22" spans="1:18" ht="45">
      <c r="A22" s="19" t="s">
        <v>38</v>
      </c>
      <c r="B22" t="s">
        <v>72</v>
      </c>
      <c r="C22" t="s">
        <v>269</v>
      </c>
      <c r="D22" t="s">
        <v>270</v>
      </c>
      <c r="E22" s="18">
        <v>30970</v>
      </c>
      <c r="F22" s="14" t="s">
        <v>103</v>
      </c>
      <c r="J22" s="15" t="s">
        <v>212</v>
      </c>
      <c r="M22" s="14" t="s">
        <v>143</v>
      </c>
      <c r="N22" s="14" t="s">
        <v>179</v>
      </c>
      <c r="O22" s="26" t="s">
        <v>329</v>
      </c>
      <c r="P22" s="24" t="str">
        <f t="shared" si="0"/>
        <v>K7.6.A11.439 - Nguyễn Thị Lam Phương</v>
      </c>
      <c r="Q22" s="24"/>
      <c r="R22" t="str">
        <f>Table1[[#This Row],[ID]]&amp;" - "&amp;Table1[[#This Row],[name]]</f>
        <v>K76.A11.439 - Nguyễn Thị Lam Phương</v>
      </c>
    </row>
    <row r="23" spans="1:18" ht="60">
      <c r="A23" s="19" t="s">
        <v>39</v>
      </c>
      <c r="B23" t="s">
        <v>73</v>
      </c>
      <c r="C23" t="s">
        <v>266</v>
      </c>
      <c r="D23" t="s">
        <v>270</v>
      </c>
      <c r="E23" s="11">
        <v>30420</v>
      </c>
      <c r="F23" s="14" t="s">
        <v>116</v>
      </c>
      <c r="J23" s="15" t="s">
        <v>213</v>
      </c>
      <c r="M23" s="14" t="s">
        <v>144</v>
      </c>
      <c r="N23" s="14" t="s">
        <v>180</v>
      </c>
      <c r="O23" s="26" t="s">
        <v>330</v>
      </c>
      <c r="P23" s="24" t="str">
        <f t="shared" si="0"/>
        <v>K7.6.A11.440 - Trương Cao Sáng</v>
      </c>
      <c r="Q23" s="24"/>
      <c r="R23" t="str">
        <f>Table1[[#This Row],[ID]]&amp;" - "&amp;Table1[[#This Row],[name]]</f>
        <v>K76.A11.440 - Trương Cao Sáng</v>
      </c>
    </row>
    <row r="24" spans="1:18" ht="45">
      <c r="A24" s="19" t="s">
        <v>40</v>
      </c>
      <c r="B24" t="s">
        <v>74</v>
      </c>
      <c r="C24" t="s">
        <v>271</v>
      </c>
      <c r="D24" t="s">
        <v>272</v>
      </c>
      <c r="E24" s="18">
        <v>34621</v>
      </c>
      <c r="F24" s="14" t="s">
        <v>117</v>
      </c>
      <c r="J24" s="15" t="s">
        <v>214</v>
      </c>
      <c r="M24" s="14" t="s">
        <v>145</v>
      </c>
      <c r="N24" s="14" t="s">
        <v>181</v>
      </c>
      <c r="O24" s="26" t="s">
        <v>331</v>
      </c>
      <c r="P24" s="24" t="str">
        <f t="shared" si="0"/>
        <v>K7.6.A11.443 - Phạm Thị Thu Thảo</v>
      </c>
      <c r="Q24" s="24"/>
      <c r="R24" t="str">
        <f>Table1[[#This Row],[ID]]&amp;" - "&amp;Table1[[#This Row],[name]]</f>
        <v>K76.A11.443 - Phạm Thị Thu Thảo</v>
      </c>
    </row>
    <row r="25" spans="1:18" ht="45">
      <c r="A25" s="19" t="s">
        <v>41</v>
      </c>
      <c r="B25" t="s">
        <v>75</v>
      </c>
      <c r="C25" t="s">
        <v>273</v>
      </c>
      <c r="D25" t="s">
        <v>274</v>
      </c>
      <c r="E25" s="18">
        <v>32858</v>
      </c>
      <c r="F25" s="14" t="s">
        <v>118</v>
      </c>
      <c r="J25" s="15" t="s">
        <v>215</v>
      </c>
      <c r="M25" s="14" t="s">
        <v>146</v>
      </c>
      <c r="N25" s="14" t="s">
        <v>182</v>
      </c>
      <c r="O25" s="26" t="s">
        <v>315</v>
      </c>
      <c r="P25" s="24" t="str">
        <f t="shared" si="0"/>
        <v>K7.6.A11.444 - Đinh Viết Thịnh</v>
      </c>
      <c r="Q25" s="24"/>
      <c r="R25" t="str">
        <f>Table1[[#This Row],[ID]]&amp;" - "&amp;Table1[[#This Row],[name]]</f>
        <v>K76.A11.444 - Đinh Viết Thịnh</v>
      </c>
    </row>
    <row r="26" spans="1:18" ht="45">
      <c r="A26" s="19" t="s">
        <v>42</v>
      </c>
      <c r="B26" t="s">
        <v>76</v>
      </c>
      <c r="C26" t="s">
        <v>275</v>
      </c>
      <c r="D26" t="s">
        <v>276</v>
      </c>
      <c r="E26" s="11">
        <v>33369</v>
      </c>
      <c r="F26" s="14" t="s">
        <v>119</v>
      </c>
      <c r="J26" s="15" t="s">
        <v>216</v>
      </c>
      <c r="M26" s="14" t="s">
        <v>147</v>
      </c>
      <c r="N26" s="14" t="s">
        <v>183</v>
      </c>
      <c r="O26" s="26" t="s">
        <v>316</v>
      </c>
      <c r="P26" s="24" t="str">
        <f t="shared" si="0"/>
        <v>K7.6.A11.445 - Trương Văn Thùy</v>
      </c>
      <c r="Q26" s="24"/>
      <c r="R26" t="str">
        <f>Table1[[#This Row],[ID]]&amp;" - "&amp;Table1[[#This Row],[name]]</f>
        <v>K76.A11.445 - Trương Văn Thùy</v>
      </c>
    </row>
    <row r="27" spans="1:18" ht="60">
      <c r="A27" s="19" t="s">
        <v>43</v>
      </c>
      <c r="B27" t="s">
        <v>77</v>
      </c>
      <c r="C27" t="s">
        <v>277</v>
      </c>
      <c r="D27" t="s">
        <v>278</v>
      </c>
      <c r="E27" s="11">
        <v>31778</v>
      </c>
      <c r="F27" s="14" t="s">
        <v>120</v>
      </c>
      <c r="J27" s="15" t="s">
        <v>217</v>
      </c>
      <c r="M27" s="14" t="s">
        <v>148</v>
      </c>
      <c r="N27" s="14" t="s">
        <v>184</v>
      </c>
      <c r="O27" s="26" t="s">
        <v>317</v>
      </c>
      <c r="P27" s="24" t="str">
        <f t="shared" si="0"/>
        <v>K7.6.A11.446 - Phạm Thị Mỹ Tiên</v>
      </c>
      <c r="Q27" s="24"/>
      <c r="R27" t="str">
        <f>Table1[[#This Row],[ID]]&amp;" - "&amp;Table1[[#This Row],[name]]</f>
        <v>K76.A11.446 - Phạm Thị Mỹ Tiên</v>
      </c>
    </row>
    <row r="28" spans="1:18" ht="45">
      <c r="A28" s="19" t="s">
        <v>44</v>
      </c>
      <c r="B28" t="s">
        <v>78</v>
      </c>
      <c r="C28" t="s">
        <v>279</v>
      </c>
      <c r="D28" t="s">
        <v>280</v>
      </c>
      <c r="E28" s="11">
        <v>30543</v>
      </c>
      <c r="F28" s="14" t="s">
        <v>121</v>
      </c>
      <c r="J28" s="15" t="s">
        <v>218</v>
      </c>
      <c r="M28" s="14" t="s">
        <v>149</v>
      </c>
      <c r="N28" s="14" t="s">
        <v>185</v>
      </c>
      <c r="O28" s="26" t="s">
        <v>332</v>
      </c>
      <c r="P28" s="24" t="str">
        <f t="shared" si="0"/>
        <v>K7.6.A11.447 - Lâm Mộc Tiền</v>
      </c>
      <c r="Q28" s="24"/>
      <c r="R28" t="str">
        <f>Table1[[#This Row],[ID]]&amp;" - "&amp;Table1[[#This Row],[name]]</f>
        <v>K76.A11.447 - Lâm Mộc Tiền</v>
      </c>
    </row>
    <row r="29" spans="1:18" ht="45">
      <c r="A29" s="19" t="s">
        <v>45</v>
      </c>
      <c r="B29" t="s">
        <v>79</v>
      </c>
      <c r="C29" t="s">
        <v>281</v>
      </c>
      <c r="D29" t="s">
        <v>282</v>
      </c>
      <c r="E29" s="11">
        <v>32579</v>
      </c>
      <c r="F29" s="14" t="s">
        <v>122</v>
      </c>
      <c r="J29" s="15" t="s">
        <v>219</v>
      </c>
      <c r="M29" s="14" t="s">
        <v>150</v>
      </c>
      <c r="N29" s="14" t="s">
        <v>186</v>
      </c>
      <c r="O29" s="26" t="s">
        <v>333</v>
      </c>
      <c r="P29" s="24" t="str">
        <f t="shared" si="0"/>
        <v>K7.6.A11.448 - Trần Trung Tín</v>
      </c>
      <c r="Q29" s="24"/>
      <c r="R29" t="str">
        <f>Table1[[#This Row],[ID]]&amp;" - "&amp;Table1[[#This Row],[name]]</f>
        <v>K76.A11.448 - Trần Trung Tín</v>
      </c>
    </row>
    <row r="30" spans="1:18" ht="45">
      <c r="A30" s="19" t="s">
        <v>46</v>
      </c>
      <c r="B30" t="s">
        <v>80</v>
      </c>
      <c r="C30" t="s">
        <v>283</v>
      </c>
      <c r="D30" t="s">
        <v>284</v>
      </c>
      <c r="E30" s="11">
        <v>30819</v>
      </c>
      <c r="F30" s="14" t="s">
        <v>123</v>
      </c>
      <c r="J30" s="15" t="s">
        <v>220</v>
      </c>
      <c r="M30" s="14" t="s">
        <v>151</v>
      </c>
      <c r="N30" s="14" t="s">
        <v>187</v>
      </c>
      <c r="O30" s="26" t="s">
        <v>318</v>
      </c>
      <c r="P30" s="24" t="str">
        <f t="shared" si="0"/>
        <v>K7.6.A11.449 - Đoàn Bảo Toàn</v>
      </c>
      <c r="Q30" s="24"/>
      <c r="R30" t="str">
        <f>Table1[[#This Row],[ID]]&amp;" - "&amp;Table1[[#This Row],[name]]</f>
        <v>K76.A11.449 - Đoàn Bảo Toàn</v>
      </c>
    </row>
    <row r="31" spans="1:18" ht="75">
      <c r="A31" s="19" t="s">
        <v>47</v>
      </c>
      <c r="B31" t="s">
        <v>81</v>
      </c>
      <c r="C31" t="s">
        <v>285</v>
      </c>
      <c r="D31" t="s">
        <v>286</v>
      </c>
      <c r="E31" s="11">
        <v>32011</v>
      </c>
      <c r="F31" s="14" t="s">
        <v>124</v>
      </c>
      <c r="J31" s="15" t="s">
        <v>221</v>
      </c>
      <c r="M31" s="14" t="s">
        <v>152</v>
      </c>
      <c r="N31" s="14" t="s">
        <v>188</v>
      </c>
      <c r="O31" s="26" t="s">
        <v>334</v>
      </c>
      <c r="P31" s="24" t="str">
        <f t="shared" si="0"/>
        <v>K7.6.A11.450 - Lương Thế Trung</v>
      </c>
      <c r="Q31" s="24"/>
      <c r="R31" t="str">
        <f>Table1[[#This Row],[ID]]&amp;" - "&amp;Table1[[#This Row],[name]]</f>
        <v>K76.A11.450 - Lương Thế Trung</v>
      </c>
    </row>
    <row r="32" spans="1:18" ht="90">
      <c r="A32" s="19" t="s">
        <v>48</v>
      </c>
      <c r="B32" t="s">
        <v>82</v>
      </c>
      <c r="C32" t="s">
        <v>287</v>
      </c>
      <c r="D32" t="s">
        <v>288</v>
      </c>
      <c r="E32" s="18">
        <v>31715</v>
      </c>
      <c r="F32" s="14" t="s">
        <v>125</v>
      </c>
      <c r="J32" s="15" t="s">
        <v>222</v>
      </c>
      <c r="M32" s="14" t="s">
        <v>153</v>
      </c>
      <c r="N32" s="14" t="s">
        <v>189</v>
      </c>
      <c r="O32" s="26" t="s">
        <v>335</v>
      </c>
      <c r="P32" s="24" t="str">
        <f t="shared" si="0"/>
        <v>K7.6.A11.451 - Nguyễn Đặng Anh Tú</v>
      </c>
      <c r="Q32" s="24"/>
      <c r="R32" t="str">
        <f>Table1[[#This Row],[ID]]&amp;" - "&amp;Table1[[#This Row],[name]]</f>
        <v>K76.A11.451 - Nguyễn Đặng Anh Tú</v>
      </c>
    </row>
    <row r="33" spans="1:18" ht="135">
      <c r="A33" s="19" t="s">
        <v>49</v>
      </c>
      <c r="B33" t="s">
        <v>83</v>
      </c>
      <c r="C33" t="s">
        <v>289</v>
      </c>
      <c r="D33" t="s">
        <v>290</v>
      </c>
      <c r="E33" s="18">
        <v>33525</v>
      </c>
      <c r="F33" s="14" t="s">
        <v>126</v>
      </c>
      <c r="J33" s="15" t="s">
        <v>223</v>
      </c>
      <c r="M33" s="14" t="s">
        <v>154</v>
      </c>
      <c r="N33" s="14" t="s">
        <v>190</v>
      </c>
      <c r="O33" s="26" t="s">
        <v>336</v>
      </c>
      <c r="P33" s="24" t="str">
        <f t="shared" si="0"/>
        <v>K7.6.A11.454 - Phan Thị Bạch Tuyết</v>
      </c>
      <c r="Q33" s="24"/>
      <c r="R33" t="str">
        <f>Table1[[#This Row],[ID]]&amp;" - "&amp;Table1[[#This Row],[name]]</f>
        <v>K76.A11.454 - Phan Thị Bạch Tuyết</v>
      </c>
    </row>
    <row r="34" spans="1:18" ht="45">
      <c r="A34" s="19" t="s">
        <v>50</v>
      </c>
      <c r="B34" t="s">
        <v>84</v>
      </c>
      <c r="C34" t="s">
        <v>291</v>
      </c>
      <c r="D34" t="s">
        <v>292</v>
      </c>
      <c r="E34" s="11">
        <v>31974</v>
      </c>
      <c r="F34" s="14" t="s">
        <v>127</v>
      </c>
      <c r="J34" s="15" t="s">
        <v>224</v>
      </c>
      <c r="M34" s="14" t="s">
        <v>127</v>
      </c>
      <c r="N34" s="14" t="s">
        <v>191</v>
      </c>
      <c r="O34" s="26" t="s">
        <v>339</v>
      </c>
      <c r="P34" s="24" t="str">
        <f t="shared" si="0"/>
        <v>K7.6.A11.455 - Phan Lê Thị Thanh Xuân</v>
      </c>
      <c r="Q34" s="24"/>
      <c r="R34" t="str">
        <f>Table1[[#This Row],[ID]]&amp;" - "&amp;Table1[[#This Row],[name]]</f>
        <v>K76.A11.455 - Phan Lê Thị Thanh Xuân</v>
      </c>
    </row>
    <row r="35" spans="1:18" ht="60">
      <c r="A35" s="19" t="s">
        <v>95</v>
      </c>
      <c r="B35" t="s">
        <v>85</v>
      </c>
      <c r="C35" t="s">
        <v>293</v>
      </c>
      <c r="D35" t="s">
        <v>294</v>
      </c>
      <c r="E35" s="11">
        <v>30620</v>
      </c>
      <c r="F35" s="14" t="s">
        <v>128</v>
      </c>
      <c r="J35" s="15" t="s">
        <v>225</v>
      </c>
      <c r="M35" s="14" t="s">
        <v>155</v>
      </c>
      <c r="N35" s="14" t="s">
        <v>192</v>
      </c>
      <c r="O35" s="26" t="s">
        <v>319</v>
      </c>
      <c r="P35" s="24" t="str">
        <f t="shared" si="0"/>
        <v>K7.6.A11.465 - Ưng Thanh Hải</v>
      </c>
      <c r="Q35" s="24"/>
      <c r="R35" t="str">
        <f>Table1[[#This Row],[ID]]&amp;" - "&amp;Table1[[#This Row],[name]]</f>
        <v>K76.A11.465 - Ưng Thanh Hải</v>
      </c>
    </row>
    <row r="36" spans="1:18" ht="60">
      <c r="A36" s="19" t="s">
        <v>51</v>
      </c>
      <c r="B36" t="s">
        <v>86</v>
      </c>
      <c r="C36" t="s">
        <v>295</v>
      </c>
      <c r="D36" t="s">
        <v>296</v>
      </c>
      <c r="E36" s="15" t="s">
        <v>94</v>
      </c>
      <c r="F36" s="14" t="s">
        <v>129</v>
      </c>
      <c r="J36" s="15" t="s">
        <v>226</v>
      </c>
      <c r="M36" s="14" t="s">
        <v>156</v>
      </c>
      <c r="N36" s="14" t="s">
        <v>193</v>
      </c>
      <c r="O36" s="26" t="s">
        <v>338</v>
      </c>
      <c r="P36" s="24" t="str">
        <f t="shared" si="0"/>
        <v>K7.6.A11.493 - Lê Thị Minh Hiếu</v>
      </c>
      <c r="Q36" s="24"/>
      <c r="R36" t="str">
        <f>Table1[[#This Row],[ID]]&amp;" - "&amp;Table1[[#This Row],[name]]</f>
        <v>K76.A11.493 - Lê Thị Minh Hiếu</v>
      </c>
    </row>
    <row r="37" spans="1:18" ht="45">
      <c r="A37" s="19" t="s">
        <v>53</v>
      </c>
      <c r="B37" t="s">
        <v>96</v>
      </c>
      <c r="C37" t="s">
        <v>297</v>
      </c>
      <c r="D37" t="s">
        <v>298</v>
      </c>
      <c r="E37" s="18">
        <v>32001</v>
      </c>
      <c r="F37" s="14" t="s">
        <v>105</v>
      </c>
      <c r="J37" s="15" t="s">
        <v>227</v>
      </c>
      <c r="M37" s="14" t="s">
        <v>157</v>
      </c>
      <c r="N37" s="14" t="s">
        <v>194</v>
      </c>
      <c r="O37" s="26" t="s">
        <v>337</v>
      </c>
      <c r="P37" s="24" t="str">
        <f t="shared" si="0"/>
        <v>K7.6.A11.491 - Đỗ Văn Tín</v>
      </c>
      <c r="Q37" s="24"/>
      <c r="R37" t="str">
        <f>Table1[[#This Row],[ID]]&amp;" - "&amp;Table1[[#This Row],[name]]</f>
        <v>K76.A11.491 - Đỗ Văn Tín</v>
      </c>
    </row>
    <row r="38" spans="1:18" ht="60">
      <c r="A38" s="19" t="s">
        <v>52</v>
      </c>
      <c r="B38" t="s">
        <v>97</v>
      </c>
      <c r="C38" t="s">
        <v>299</v>
      </c>
      <c r="D38" t="s">
        <v>300</v>
      </c>
      <c r="E38" s="18">
        <v>33165</v>
      </c>
      <c r="F38" s="14" t="s">
        <v>130</v>
      </c>
      <c r="J38" s="15" t="s">
        <v>228</v>
      </c>
      <c r="M38" s="14" t="s">
        <v>158</v>
      </c>
      <c r="N38" s="14" t="s">
        <v>195</v>
      </c>
      <c r="O38" s="26" t="s">
        <v>320</v>
      </c>
      <c r="P38" s="24" t="str">
        <f t="shared" si="0"/>
        <v>K7.6.A11.492 - Lê Nhật Bình</v>
      </c>
      <c r="Q38" s="24"/>
      <c r="R38" t="str">
        <f>Table1[[#This Row],[ID]]&amp;" - "&amp;Table1[[#This Row],[name]]</f>
        <v>K76.A11.492 - Lê Nhật Bình</v>
      </c>
    </row>
  </sheetData>
  <phoneticPr fontId="24" type="noConversion"/>
  <pageMargins left="0.7" right="0.7" top="0.75" bottom="0.75" header="0.3" footer="0.3"/>
  <pageSetup paperSize="9" orientation="portrait" horizontalDpi="4294967293" r:id="rId1"/>
  <legacy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287DF9-B8B9-4052-830A-5E4ABFF8502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Mai Vu Lam</dc:creator>
  <cp:lastModifiedBy>Giám đốc CSKV Bắc</cp:lastModifiedBy>
  <dcterms:created xsi:type="dcterms:W3CDTF">2024-07-31T14:16:02Z</dcterms:created>
  <dcterms:modified xsi:type="dcterms:W3CDTF">2026-04-13T12:35:30Z</dcterms:modified>
</cp:coreProperties>
</file>