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vula\Documents\GitHub\bandokhaosat\data\"/>
    </mc:Choice>
  </mc:AlternateContent>
  <xr:revisionPtr revIDLastSave="0" documentId="13_ncr:1_{D341CD4B-3615-4625-8C83-9BEA924686C8}" xr6:coauthVersionLast="47" xr6:coauthVersionMax="47" xr10:uidLastSave="{00000000-0000-0000-0000-000000000000}"/>
  <bookViews>
    <workbookView xWindow="-28920" yWindow="1440" windowWidth="29040" windowHeight="15720" xr2:uid="{A1266DFF-32F5-4B0B-A729-2A44814C55C6}"/>
  </bookViews>
  <sheets>
    <sheet name="Sheet1" sheetId="2" r:id="rId1"/>
    <sheet name="Sheet2" sheetId="3" r:id="rId2"/>
  </sheets>
  <definedNames>
    <definedName name="dadad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C3" i="2"/>
  <c r="D3" i="2"/>
  <c r="C4" i="2"/>
  <c r="D4" i="2"/>
  <c r="C5" i="2"/>
  <c r="D5" i="2"/>
  <c r="C6" i="2"/>
  <c r="D6" i="2"/>
  <c r="C7" i="2"/>
  <c r="D7" i="2"/>
  <c r="C8" i="2"/>
  <c r="D8" i="2"/>
  <c r="C9" i="2"/>
  <c r="D9" i="2"/>
  <c r="C10" i="2"/>
  <c r="D10" i="2"/>
  <c r="D2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Vu Lam</author>
  </authors>
  <commentList>
    <comment ref="G1" authorId="0" shapeId="0" xr:uid="{B1067045-D880-47B6-8D54-00B45FC6FAE1}">
      <text>
        <r>
          <rPr>
            <b/>
            <sz val="9"/>
            <color indexed="81"/>
            <rFont val="Tahoma"/>
            <family val="2"/>
          </rPr>
          <t>Mai Vu Lam:</t>
        </r>
        <r>
          <rPr>
            <sz val="9"/>
            <color indexed="81"/>
            <rFont val="Tahoma"/>
            <family val="2"/>
          </rPr>
          <t xml:space="preserve">
0: trụ HTLT lắp đèn
1: trụ TTC
2: trụ trồng mới
3: trụ lấu nguồn
4: đèn hiện hữu
5: STK mới
6: tủ điều khiển</t>
        </r>
      </text>
    </comment>
    <comment ref="G2" authorId="0" shapeId="0" xr:uid="{4A021DDF-255C-451A-99DF-9AAA58CFA850}">
      <text>
        <r>
          <rPr>
            <b/>
            <sz val="9"/>
            <color indexed="81"/>
            <rFont val="Tahoma"/>
            <family val="2"/>
          </rPr>
          <t>Mai Vu Lam:</t>
        </r>
        <r>
          <rPr>
            <sz val="9"/>
            <color indexed="81"/>
            <rFont val="Tahoma"/>
            <family val="2"/>
          </rPr>
          <t xml:space="preserve">
Mai Vu Lam:
0: trụ HTLT lắp đèn
1: trụ TTC
2: trụ trồng mới
3: trụ lấu nguồn
4: đèn hiện hữu
5: STK mới
6: tủ điều khiển</t>
        </r>
      </text>
    </comment>
  </commentList>
</comments>
</file>

<file path=xl/sharedStrings.xml><?xml version="1.0" encoding="utf-8"?>
<sst xmlns="http://schemas.openxmlformats.org/spreadsheetml/2006/main" count="88" uniqueCount="29">
  <si>
    <t>latitude</t>
  </si>
  <si>
    <t>longtitude</t>
  </si>
  <si>
    <t>name</t>
  </si>
  <si>
    <t>Trang thai</t>
  </si>
  <si>
    <t>Loại trụ</t>
  </si>
  <si>
    <t>Loại cần</t>
  </si>
  <si>
    <t>ID</t>
  </si>
  <si>
    <t>Đường</t>
  </si>
  <si>
    <t>Tủ điều khiển</t>
  </si>
  <si>
    <t>Phường</t>
  </si>
  <si>
    <t>Đèn</t>
  </si>
  <si>
    <t>htlt</t>
  </si>
  <si>
    <t>2TN2m</t>
  </si>
  <si>
    <t>Led 40W</t>
  </si>
  <si>
    <t>N</t>
  </si>
  <si>
    <t>E</t>
  </si>
  <si>
    <t>0: trụ HTLT lắp đèn</t>
  </si>
  <si>
    <t>1: trụ TTC</t>
  </si>
  <si>
    <t>2: trụ trồng mới</t>
  </si>
  <si>
    <t>3: trụ lấu nguồn</t>
  </si>
  <si>
    <t>4: đèn hiện hữu</t>
  </si>
  <si>
    <t>5: STK mới</t>
  </si>
  <si>
    <t>6: tủ điều khiển</t>
  </si>
  <si>
    <t>Quận</t>
  </si>
  <si>
    <t>8</t>
  </si>
  <si>
    <t>STT</t>
  </si>
  <si>
    <t>Vĩ độ (Latitude)</t>
  </si>
  <si>
    <t>Kinh độ (Longitude)</t>
  </si>
  <si>
    <t>Mã QR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</si>
</sst>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10,000,000,000"/>
    <numFmt numFmtId="165" formatCode="#,##0.000000000"/>
  </numFmts>
  <fonts count="25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0.5"/>
      <color rgb="FF000000"/>
      <name val="Calibri"/>
      <family val="2"/>
    </font>
    <font>
      <sz val="16"/>
      <color rgb="FF00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6"/>
      <color rgb="FF000000"/>
      <name val="Times New Roman"/>
      <family val="1"/>
    </font>
    <font>
      <sz val="10.5"/>
      <color rgb="FF000000"/>
      <name val="Calibri"/>
      <family val="2"/>
    </font>
    <font>
      <sz val="8"/>
      <name val="Arial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7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23" fillId="0" borderId="0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</cellStyleXfs>
  <cellXfs count="20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0" fillId="34" borderId="10" xfId="0" applyFill="1" applyBorder="1"/>
    <xf numFmtId="0" fontId="0" fillId="0" borderId="10" xfId="0" applyBorder="1"/>
    <xf numFmtId="49" fontId="0" fillId="0" borderId="10" xfId="0" applyNumberFormat="1" applyBorder="1"/>
    <xf numFmtId="49" fontId="0" fillId="34" borderId="12" xfId="0" applyNumberFormat="1" applyFill="1" applyBorder="1"/>
    <xf numFmtId="49" fontId="0" fillId="0" borderId="12" xfId="0" applyNumberFormat="1" applyBorder="1"/>
    <xf numFmtId="49" fontId="0" fillId="34" borderId="10" xfId="0" applyNumberFormat="1" applyFill="1" applyBorder="1"/>
    <xf numFmtId="165" fontId="0" fillId="35" borderId="10" xfId="0" applyNumberFormat="1" applyFill="1" applyBorder="1"/>
    <xf numFmtId="165" fontId="14" fillId="36" borderId="10" xfId="0" applyNumberFormat="1" applyFont="1" applyFill="1" applyBorder="1"/>
    <xf numFmtId="0" fontId="13" fillId="33" borderId="0" xfId="0" applyFont="1" applyFill="1"/>
    <xf numFmtId="164" fontId="13" fillId="33" borderId="13" xfId="0" applyNumberFormat="1" applyFont="1" applyFill="1" applyBorder="1"/>
    <xf numFmtId="0" fontId="13" fillId="34" borderId="0" xfId="0" applyFont="1" applyFill="1"/>
    <xf numFmtId="49" fontId="13" fillId="33" borderId="13" xfId="0" applyNumberFormat="1" applyFont="1" applyFill="1" applyBorder="1"/>
    <xf numFmtId="49" fontId="13" fillId="33" borderId="14" xfId="0" applyNumberFormat="1" applyFont="1" applyFill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165" fontId="14" fillId="36" borderId="0" xfId="0" applyNumberFormat="1" applyFont="1" applyFill="1" applyBorder="1"/>
  </cellXfs>
  <cellStyles count="78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79952194-6586-42B8-822C-1A49F0D6AEF9}"/>
    <cellStyle name="Normal 3" xfId="60" xr:uid="{0BD2319E-B378-4050-993B-54BD44E326F0}"/>
    <cellStyle name="Note" xfId="15" builtinId="10" customBuiltin="1"/>
    <cellStyle name="Output" xfId="10" builtinId="21" customBuiltin="1"/>
    <cellStyle name="PoleExportcolumn1" xfId="43" xr:uid="{EBEA4158-2047-4B6D-843B-27758B9F50F9}"/>
    <cellStyle name="PoleExportcolumn1 2" xfId="61" xr:uid="{3712E555-DFA4-47D5-89B9-82F0B2FFB1C3}"/>
    <cellStyle name="PoleExportcolumn10" xfId="52" xr:uid="{D736F050-9EB8-4EF9-A794-BCD943D8352D}"/>
    <cellStyle name="PoleExportcolumn10 2" xfId="70" xr:uid="{D4361497-FA89-49E8-985E-2EDAF564660E}"/>
    <cellStyle name="PoleExportcolumn11" xfId="53" xr:uid="{727AC47E-C573-4FBC-934E-7F6371BDAA61}"/>
    <cellStyle name="PoleExportcolumn11 2" xfId="71" xr:uid="{634335F2-3214-4D5F-A946-F922FE08331A}"/>
    <cellStyle name="PoleExportcolumn12" xfId="54" xr:uid="{E4A1B2DE-6A09-473D-BFB3-BF1B69634F0A}"/>
    <cellStyle name="PoleExportcolumn12 2" xfId="72" xr:uid="{A4A86B09-C085-4583-A1DB-433DD4CE17EE}"/>
    <cellStyle name="PoleExportcolumn13" xfId="55" xr:uid="{F4291634-BB66-4FA1-8914-95B82765B22F}"/>
    <cellStyle name="PoleExportcolumn13 2" xfId="73" xr:uid="{161BCE88-C13F-4C1C-AAD3-48CB26A7A292}"/>
    <cellStyle name="PoleExportcolumn14" xfId="56" xr:uid="{35AF2221-C881-47FF-A84A-C410E61559A4}"/>
    <cellStyle name="PoleExportcolumn14 2" xfId="74" xr:uid="{3D6A5569-FA51-4E3D-BA37-3442FC07B6B0}"/>
    <cellStyle name="PoleExportcolumn15" xfId="57" xr:uid="{8D94F7AA-E08C-4DAF-94BE-0D1A0EB53B52}"/>
    <cellStyle name="PoleExportcolumn15 2" xfId="75" xr:uid="{B269D2A5-F7CE-45EB-813F-B08DAFA5408B}"/>
    <cellStyle name="PoleExportcolumn16" xfId="58" xr:uid="{84A9AF24-C14A-48C7-95FE-C819680E8E9D}"/>
    <cellStyle name="PoleExportcolumn16 2" xfId="76" xr:uid="{BEB9C07F-EDBD-4A85-BB9B-A139A60A2B51}"/>
    <cellStyle name="PoleExportcolumn17" xfId="59" xr:uid="{1A3E5583-F764-48E7-8F2B-2A49E6886E74}"/>
    <cellStyle name="PoleExportcolumn17 2" xfId="77" xr:uid="{75B27D99-1B88-4DAA-B5D1-73784E24F261}"/>
    <cellStyle name="PoleExportcolumn2" xfId="44" xr:uid="{72C4A887-FFE3-428F-8F2B-B8AA541F9E40}"/>
    <cellStyle name="PoleExportcolumn2 2" xfId="62" xr:uid="{810EB007-C3D7-4A61-B3BC-FBCE15FEF64E}"/>
    <cellStyle name="PoleExportcolumn3" xfId="45" xr:uid="{2D1406F8-AA20-4099-B8ED-80F94E4976C9}"/>
    <cellStyle name="PoleExportcolumn3 2" xfId="63" xr:uid="{04CC16FB-479E-429E-993C-3A5AF7346B20}"/>
    <cellStyle name="PoleExportcolumn4" xfId="46" xr:uid="{4136D523-6489-44ED-8BAB-5616570F0865}"/>
    <cellStyle name="PoleExportcolumn4 2" xfId="64" xr:uid="{D2E5CFB0-4018-4462-8E49-F840C5CEF17E}"/>
    <cellStyle name="PoleExportcolumn5" xfId="47" xr:uid="{47CD076C-E58F-4AC7-B68C-0564AA4960EE}"/>
    <cellStyle name="PoleExportcolumn5 2" xfId="65" xr:uid="{63C3CC31-21EE-4643-A28E-50FDA58611C6}"/>
    <cellStyle name="PoleExportcolumn6" xfId="48" xr:uid="{32DE67EA-8CA5-4724-AA53-5B71F9B2D6BD}"/>
    <cellStyle name="PoleExportcolumn6 2" xfId="66" xr:uid="{EA95E5E7-9289-4A9F-A48D-7EEBFEB2B124}"/>
    <cellStyle name="PoleExportcolumn7" xfId="49" xr:uid="{204EBFAE-B909-4F70-89CC-194D78264369}"/>
    <cellStyle name="PoleExportcolumn7 2" xfId="67" xr:uid="{90FE5A42-9ED2-4BF7-B437-C92EEAB1B5A2}"/>
    <cellStyle name="PoleExportcolumn8" xfId="50" xr:uid="{821226FA-4625-4E95-8C1C-5DF657895667}"/>
    <cellStyle name="PoleExportcolumn8 2" xfId="68" xr:uid="{FE6AE778-7855-4A32-87EC-6BB69A31418C}"/>
    <cellStyle name="PoleExportcolumn9" xfId="51" xr:uid="{70F42C5F-0098-448F-A1EE-A182D128BBF5}"/>
    <cellStyle name="PoleExportcolumn9 2" xfId="69" xr:uid="{76A5493C-9E3E-4855-A67B-50DDAFA0FC5F}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numFmt numFmtId="3" formatCode="#,##0"/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numFmt numFmtId="3" formatCode="#,##0"/>
      <alignment horizontal="general" vertical="center" textRotation="0" wrapText="1" indent="0" justifyLastLine="0" shrinkToFit="0" readingOrder="0"/>
    </dxf>
    <dxf>
      <numFmt numFmtId="30" formatCode="@"/>
    </dxf>
    <dxf>
      <numFmt numFmtId="30" formatCode="@"/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rial"/>
        <family val="2"/>
        <scheme val="minor"/>
      </font>
      <numFmt numFmtId="165" formatCode="#,##0.000000000"/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rial"/>
        <family val="2"/>
        <scheme val="minor"/>
      </font>
      <numFmt numFmtId="165" formatCode="#,##0.000000000"/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F7D91B-22BC-49D0-B4E3-985709940F43}" name="Table1" displayName="Table1" ref="A1:N37" totalsRowShown="0" headerRowDxfId="11" tableBorderDxfId="10">
  <autoFilter ref="A1:N37" xr:uid="{57F7D91B-22BC-49D0-B4E3-985709940F43}"/>
  <tableColumns count="14">
    <tableColumn id="1" xr3:uid="{C6718836-1ADA-436E-8248-FEF66CCE4679}" name="ID" dataDxfId="9"/>
    <tableColumn id="2" xr3:uid="{50D8814C-95FB-4254-AC87-8B23CB11EAF5}" name="name" dataDxfId="1"/>
    <tableColumn id="3" xr3:uid="{62737F73-6B22-452A-AA5E-4D77D788AA2D}" name="latitude" dataDxfId="8">
      <calculatedColumnFormula>LEFT(E2,2)&amp;"."&amp;RIGHT(E2,LEN(E2)-2)</calculatedColumnFormula>
    </tableColumn>
    <tableColumn id="4" xr3:uid="{F21613BC-6878-4C9F-98A8-BC3B7671840C}" name="longtitude" dataDxfId="7">
      <calculatedColumnFormula>LEFT(F2,3)&amp;"."&amp;RIGHT(F2,LEN(F2)-3)</calculatedColumnFormula>
    </tableColumn>
    <tableColumn id="5" xr3:uid="{510B7215-A02C-4542-8653-A22DB7A9E34A}" name="N" dataDxfId="3"/>
    <tableColumn id="6" xr3:uid="{98930E79-6C50-4716-9779-BFEB7232C21A}" name="E" dataDxfId="2"/>
    <tableColumn id="7" xr3:uid="{5B88161E-6793-4B8B-953A-E29DF281AC2A}" name="Trang thai" dataDxfId="6"/>
    <tableColumn id="8" xr3:uid="{F14CF674-60AB-457D-8F81-7066099A99A1}" name="Tủ điều khiển" dataDxfId="0"/>
    <tableColumn id="9" xr3:uid="{B71AA026-436C-413D-A83D-3FFE57B4E539}" name="Loại trụ"/>
    <tableColumn id="10" xr3:uid="{29867B4B-511F-4E54-AD8C-429218320076}" name="Loại cần"/>
    <tableColumn id="11" xr3:uid="{3C176B24-BC31-4895-B05B-BE9F026B3FBF}" name="Đèn"/>
    <tableColumn id="12" xr3:uid="{D23D0C74-146D-4AE1-8936-E72E3FA5E682}" name="Đường"/>
    <tableColumn id="13" xr3:uid="{2E5CBD41-DDA4-4783-9CDE-2F945C2B6CA4}" name="Phường" dataDxfId="5"/>
    <tableColumn id="14" xr3:uid="{0E91CC63-5479-4A19-A656-FEE472B5A82A}" name="Quậ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73E56-9A8C-4B3E-BC42-A6E3991962E7}">
  <sheetPr codeName="Sheet1"/>
  <dimension ref="A1:O37"/>
  <sheetViews>
    <sheetView tabSelected="1" zoomScaleNormal="100" workbookViewId="0">
      <pane ySplit="1" topLeftCell="A2" activePane="bottomLeft" state="frozen"/>
      <selection pane="bottomLeft" activeCell="G10" sqref="G10:G37"/>
    </sheetView>
  </sheetViews>
  <sheetFormatPr defaultRowHeight="14.25" x14ac:dyDescent="0.2"/>
  <cols>
    <col min="1" max="1" width="5" bestFit="1" customWidth="1"/>
    <col min="2" max="2" width="25.625" bestFit="1" customWidth="1"/>
    <col min="3" max="3" width="21.875" style="2" bestFit="1" customWidth="1"/>
    <col min="4" max="4" width="19.75" bestFit="1" customWidth="1"/>
    <col min="5" max="5" width="14.5" bestFit="1" customWidth="1"/>
    <col min="6" max="6" width="14.75" bestFit="1" customWidth="1"/>
    <col min="7" max="7" width="11.75" style="3" customWidth="1"/>
    <col min="8" max="8" width="14.875" customWidth="1"/>
    <col min="9" max="9" width="16" bestFit="1" customWidth="1"/>
    <col min="10" max="10" width="14.5" bestFit="1" customWidth="1"/>
    <col min="11" max="11" width="10.25" customWidth="1"/>
    <col min="12" max="12" width="9.125" customWidth="1"/>
    <col min="13" max="13" width="15.5" style="1" bestFit="1" customWidth="1"/>
    <col min="14" max="14" width="14.5" style="1" bestFit="1" customWidth="1"/>
    <col min="16" max="16" width="13.5" bestFit="1" customWidth="1"/>
    <col min="17" max="17" width="14.5" bestFit="1" customWidth="1"/>
  </cols>
  <sheetData>
    <row r="1" spans="1:15" ht="15" x14ac:dyDescent="0.25">
      <c r="A1" s="11" t="s">
        <v>6</v>
      </c>
      <c r="B1" s="11" t="s">
        <v>2</v>
      </c>
      <c r="C1" s="12" t="s">
        <v>0</v>
      </c>
      <c r="D1" s="11" t="s">
        <v>1</v>
      </c>
      <c r="E1" s="11" t="s">
        <v>14</v>
      </c>
      <c r="F1" s="11" t="s">
        <v>15</v>
      </c>
      <c r="G1" s="13" t="s">
        <v>3</v>
      </c>
      <c r="H1" s="11" t="s">
        <v>8</v>
      </c>
      <c r="I1" s="11" t="s">
        <v>4</v>
      </c>
      <c r="J1" s="11" t="s">
        <v>5</v>
      </c>
      <c r="K1" s="11" t="s">
        <v>10</v>
      </c>
      <c r="L1" s="11" t="s">
        <v>7</v>
      </c>
      <c r="M1" s="14" t="s">
        <v>9</v>
      </c>
      <c r="N1" s="15" t="s">
        <v>23</v>
      </c>
    </row>
    <row r="2" spans="1:15" x14ac:dyDescent="0.2">
      <c r="A2" s="3">
        <v>1</v>
      </c>
      <c r="B2" s="18">
        <v>100806000</v>
      </c>
      <c r="C2" s="9" t="str">
        <f t="shared" ref="C2" si="0">LEFT(E2,2)&amp;"."&amp;RIGHT(E2,LEN(E2)-2)</f>
        <v>11.1854650</v>
      </c>
      <c r="D2" s="9" t="str">
        <f t="shared" ref="D2" si="1">LEFT(F2,3)&amp;"."&amp;RIGHT(F2,LEN(F2)-3)</f>
        <v>106.7267617</v>
      </c>
      <c r="E2" s="18">
        <v>111854650</v>
      </c>
      <c r="F2" s="18">
        <v>1067267617</v>
      </c>
      <c r="G2" s="3">
        <v>6</v>
      </c>
      <c r="H2" s="18">
        <v>100806000</v>
      </c>
      <c r="I2" s="3" t="s">
        <v>11</v>
      </c>
      <c r="J2" s="3" t="s">
        <v>12</v>
      </c>
      <c r="K2" s="3" t="s">
        <v>13</v>
      </c>
      <c r="L2" s="3"/>
      <c r="M2" s="3"/>
      <c r="N2" s="1" t="s">
        <v>24</v>
      </c>
      <c r="O2" s="6" t="s">
        <v>16</v>
      </c>
    </row>
    <row r="3" spans="1:15" x14ac:dyDescent="0.2">
      <c r="A3" s="4">
        <v>2</v>
      </c>
      <c r="B3" s="18">
        <v>100805000</v>
      </c>
      <c r="C3" s="9" t="str">
        <f t="shared" ref="C3:C10" si="2">LEFT(E3,2)&amp;"."&amp;RIGHT(E3,LEN(E3)-2)</f>
        <v>11.1839449</v>
      </c>
      <c r="D3" s="9" t="str">
        <f t="shared" ref="D3:D10" si="3">LEFT(F3,3)&amp;"."&amp;RIGHT(F3,LEN(F3)-3)</f>
        <v>106.7283192</v>
      </c>
      <c r="E3" s="18">
        <v>111839449</v>
      </c>
      <c r="F3" s="18">
        <v>1067283192</v>
      </c>
      <c r="G3" s="3">
        <v>6</v>
      </c>
      <c r="H3" s="18">
        <v>100805000</v>
      </c>
      <c r="I3" s="4" t="s">
        <v>11</v>
      </c>
      <c r="J3" s="4" t="s">
        <v>12</v>
      </c>
      <c r="K3" s="4" t="s">
        <v>13</v>
      </c>
      <c r="L3" s="4"/>
      <c r="M3" s="5"/>
      <c r="N3" s="1" t="s">
        <v>24</v>
      </c>
      <c r="O3" s="7" t="s">
        <v>17</v>
      </c>
    </row>
    <row r="4" spans="1:15" x14ac:dyDescent="0.2">
      <c r="A4" s="3">
        <v>3</v>
      </c>
      <c r="B4" s="18">
        <v>100804000</v>
      </c>
      <c r="C4" s="9" t="str">
        <f t="shared" si="2"/>
        <v>11.1465233</v>
      </c>
      <c r="D4" s="9" t="str">
        <f t="shared" si="3"/>
        <v>106.7125400</v>
      </c>
      <c r="E4" s="18">
        <v>111465233</v>
      </c>
      <c r="F4" s="18">
        <v>1067125400</v>
      </c>
      <c r="G4" s="3">
        <v>6</v>
      </c>
      <c r="H4" s="18">
        <v>100804000</v>
      </c>
      <c r="I4" s="3" t="s">
        <v>11</v>
      </c>
      <c r="J4" s="3" t="s">
        <v>12</v>
      </c>
      <c r="K4" s="3" t="s">
        <v>13</v>
      </c>
      <c r="L4" s="3"/>
      <c r="M4" s="8"/>
      <c r="N4" s="1" t="s">
        <v>24</v>
      </c>
      <c r="O4" s="6" t="s">
        <v>18</v>
      </c>
    </row>
    <row r="5" spans="1:15" x14ac:dyDescent="0.2">
      <c r="A5" s="4">
        <v>4</v>
      </c>
      <c r="B5" s="18">
        <v>100803000</v>
      </c>
      <c r="C5" s="9" t="str">
        <f t="shared" si="2"/>
        <v>11.1419603</v>
      </c>
      <c r="D5" s="9" t="str">
        <f t="shared" si="3"/>
        <v>106.7126515</v>
      </c>
      <c r="E5" s="18">
        <v>111419603</v>
      </c>
      <c r="F5" s="18">
        <v>1067126515</v>
      </c>
      <c r="G5" s="3">
        <v>6</v>
      </c>
      <c r="H5" s="18">
        <v>100803000</v>
      </c>
      <c r="I5" s="4" t="s">
        <v>11</v>
      </c>
      <c r="J5" s="4" t="s">
        <v>12</v>
      </c>
      <c r="K5" s="4" t="s">
        <v>13</v>
      </c>
      <c r="L5" s="4"/>
      <c r="M5" s="5"/>
      <c r="N5" s="1" t="s">
        <v>24</v>
      </c>
      <c r="O5" s="7" t="s">
        <v>19</v>
      </c>
    </row>
    <row r="6" spans="1:15" x14ac:dyDescent="0.2">
      <c r="A6" s="3">
        <v>5</v>
      </c>
      <c r="B6" s="18">
        <v>100802000</v>
      </c>
      <c r="C6" s="9" t="str">
        <f t="shared" si="2"/>
        <v>11.1331154</v>
      </c>
      <c r="D6" s="9" t="str">
        <f t="shared" si="3"/>
        <v>106.7124898</v>
      </c>
      <c r="E6" s="18">
        <v>111331154</v>
      </c>
      <c r="F6" s="18">
        <v>1067124898</v>
      </c>
      <c r="G6" s="3">
        <v>6</v>
      </c>
      <c r="H6" s="18">
        <v>100802000</v>
      </c>
      <c r="I6" s="3" t="s">
        <v>11</v>
      </c>
      <c r="J6" s="3" t="s">
        <v>12</v>
      </c>
      <c r="K6" s="3" t="s">
        <v>13</v>
      </c>
      <c r="L6" s="3"/>
      <c r="M6" s="8"/>
      <c r="N6" s="1" t="s">
        <v>24</v>
      </c>
      <c r="O6" s="6"/>
    </row>
    <row r="7" spans="1:15" x14ac:dyDescent="0.2">
      <c r="A7" s="4">
        <v>6</v>
      </c>
      <c r="B7" s="18">
        <v>100264000</v>
      </c>
      <c r="C7" s="9" t="str">
        <f t="shared" si="2"/>
        <v>11.1228746</v>
      </c>
      <c r="D7" s="9" t="str">
        <f t="shared" si="3"/>
        <v>106.7082080</v>
      </c>
      <c r="E7" s="18">
        <v>111228746</v>
      </c>
      <c r="F7" s="18">
        <v>1067082080</v>
      </c>
      <c r="G7" s="3">
        <v>6</v>
      </c>
      <c r="H7" s="18">
        <v>100264000</v>
      </c>
      <c r="I7" s="4" t="s">
        <v>11</v>
      </c>
      <c r="J7" s="4" t="s">
        <v>12</v>
      </c>
      <c r="K7" s="4" t="s">
        <v>13</v>
      </c>
      <c r="L7" s="4"/>
      <c r="M7" s="5"/>
      <c r="N7" s="1" t="s">
        <v>24</v>
      </c>
      <c r="O7" s="7" t="s">
        <v>20</v>
      </c>
    </row>
    <row r="8" spans="1:15" x14ac:dyDescent="0.2">
      <c r="A8" s="3">
        <v>7</v>
      </c>
      <c r="B8" s="18">
        <v>100298000</v>
      </c>
      <c r="C8" s="9" t="str">
        <f t="shared" si="2"/>
        <v>11.1138415</v>
      </c>
      <c r="D8" s="9" t="str">
        <f t="shared" si="3"/>
        <v>106.7194560</v>
      </c>
      <c r="E8" s="18">
        <v>111138415</v>
      </c>
      <c r="F8" s="18">
        <v>1067194560</v>
      </c>
      <c r="G8" s="3">
        <v>6</v>
      </c>
      <c r="H8" s="18">
        <v>100298000</v>
      </c>
      <c r="I8" s="3" t="s">
        <v>11</v>
      </c>
      <c r="J8" s="3" t="s">
        <v>12</v>
      </c>
      <c r="K8" s="3" t="s">
        <v>13</v>
      </c>
      <c r="L8" s="3"/>
      <c r="M8" s="8"/>
      <c r="N8" s="1" t="s">
        <v>24</v>
      </c>
      <c r="O8" s="6" t="s">
        <v>21</v>
      </c>
    </row>
    <row r="9" spans="1:15" x14ac:dyDescent="0.2">
      <c r="A9" s="4">
        <v>8</v>
      </c>
      <c r="B9" s="18">
        <v>100305000</v>
      </c>
      <c r="C9" s="9" t="str">
        <f t="shared" si="2"/>
        <v>11.1027206</v>
      </c>
      <c r="D9" s="9" t="str">
        <f t="shared" si="3"/>
        <v>106.7048816</v>
      </c>
      <c r="E9" s="18">
        <v>111027206</v>
      </c>
      <c r="F9" s="18">
        <v>1067048816</v>
      </c>
      <c r="G9" s="3">
        <v>6</v>
      </c>
      <c r="H9" s="18">
        <v>100305000</v>
      </c>
      <c r="I9" s="4" t="s">
        <v>11</v>
      </c>
      <c r="J9" s="4" t="s">
        <v>12</v>
      </c>
      <c r="K9" s="4" t="s">
        <v>13</v>
      </c>
      <c r="L9" s="4"/>
      <c r="M9" s="5"/>
      <c r="N9" s="1" t="s">
        <v>24</v>
      </c>
      <c r="O9" s="7" t="s">
        <v>22</v>
      </c>
    </row>
    <row r="10" spans="1:15" x14ac:dyDescent="0.2">
      <c r="A10" s="3">
        <v>9</v>
      </c>
      <c r="B10" s="18">
        <v>100304000</v>
      </c>
      <c r="C10" s="9" t="str">
        <f t="shared" si="2"/>
        <v>11.1285808</v>
      </c>
      <c r="D10" s="9" t="str">
        <f t="shared" si="3"/>
        <v>106.7088711</v>
      </c>
      <c r="E10" s="18">
        <v>111285808</v>
      </c>
      <c r="F10" s="18">
        <v>1067088711</v>
      </c>
      <c r="G10" s="3">
        <v>6</v>
      </c>
      <c r="H10" s="18">
        <v>100304000</v>
      </c>
      <c r="I10" s="3" t="s">
        <v>11</v>
      </c>
      <c r="J10" s="3" t="s">
        <v>12</v>
      </c>
      <c r="K10" s="3" t="s">
        <v>13</v>
      </c>
      <c r="L10" s="3"/>
      <c r="M10" s="8"/>
      <c r="N10" s="1" t="s">
        <v>24</v>
      </c>
      <c r="O10" s="6"/>
    </row>
    <row r="11" spans="1:15" x14ac:dyDescent="0.2">
      <c r="A11" s="4">
        <v>10</v>
      </c>
      <c r="B11" s="18">
        <v>100281000</v>
      </c>
      <c r="C11" s="10" t="str">
        <f t="shared" ref="C11:C37" si="4">LEFT(E11,2)&amp;"."&amp;RIGHT(E11,LEN(E11)-2)</f>
        <v>11.1147057</v>
      </c>
      <c r="D11" s="10" t="str">
        <f t="shared" ref="D11:D37" si="5">LEFT(F11,3)&amp;"."&amp;RIGHT(F11,LEN(F11)-3)</f>
        <v>106.7124676</v>
      </c>
      <c r="E11" s="18">
        <v>111147057</v>
      </c>
      <c r="F11" s="18">
        <v>1067124676</v>
      </c>
      <c r="G11" s="3">
        <v>6</v>
      </c>
      <c r="H11" s="18">
        <v>100281000</v>
      </c>
      <c r="I11" s="3" t="s">
        <v>11</v>
      </c>
    </row>
    <row r="12" spans="1:15" x14ac:dyDescent="0.2">
      <c r="A12" s="3">
        <v>11</v>
      </c>
      <c r="B12" s="18">
        <v>100816000</v>
      </c>
      <c r="C12" s="19" t="str">
        <f t="shared" si="4"/>
        <v>11.1108568</v>
      </c>
      <c r="D12" s="19" t="str">
        <f t="shared" si="5"/>
        <v>106.7066741</v>
      </c>
      <c r="E12" s="18">
        <v>111108568</v>
      </c>
      <c r="F12" s="18">
        <v>1067066741</v>
      </c>
      <c r="G12" s="3">
        <v>6</v>
      </c>
      <c r="H12" s="18">
        <v>100816000</v>
      </c>
      <c r="I12" s="3" t="s">
        <v>11</v>
      </c>
    </row>
    <row r="13" spans="1:15" x14ac:dyDescent="0.2">
      <c r="A13" s="4">
        <v>12</v>
      </c>
      <c r="B13" s="18">
        <v>100303000</v>
      </c>
      <c r="C13" s="19" t="str">
        <f t="shared" si="4"/>
        <v>11.0953368</v>
      </c>
      <c r="D13" s="19" t="str">
        <f t="shared" si="5"/>
        <v>106.7040759</v>
      </c>
      <c r="E13" s="18">
        <v>110953368</v>
      </c>
      <c r="F13" s="18">
        <v>1067040759</v>
      </c>
      <c r="G13" s="3">
        <v>6</v>
      </c>
      <c r="H13" s="18">
        <v>100303000</v>
      </c>
      <c r="I13" s="3" t="s">
        <v>11</v>
      </c>
    </row>
    <row r="14" spans="1:15" x14ac:dyDescent="0.2">
      <c r="A14" s="3">
        <v>13</v>
      </c>
      <c r="B14" s="18">
        <v>100302000</v>
      </c>
      <c r="C14" s="19" t="str">
        <f t="shared" si="4"/>
        <v>11.1095117</v>
      </c>
      <c r="D14" s="19" t="str">
        <f t="shared" si="5"/>
        <v>106.7221360</v>
      </c>
      <c r="E14" s="18">
        <v>111095117</v>
      </c>
      <c r="F14" s="18">
        <v>1067221360</v>
      </c>
      <c r="G14" s="3">
        <v>6</v>
      </c>
      <c r="H14" s="18">
        <v>100302000</v>
      </c>
      <c r="I14" s="3" t="s">
        <v>11</v>
      </c>
    </row>
    <row r="15" spans="1:15" x14ac:dyDescent="0.2">
      <c r="A15" s="4">
        <v>14</v>
      </c>
      <c r="B15" s="18">
        <v>100301000</v>
      </c>
      <c r="C15" s="19" t="str">
        <f t="shared" si="4"/>
        <v>11.0987332</v>
      </c>
      <c r="D15" s="19" t="str">
        <f t="shared" si="5"/>
        <v>106.7101970</v>
      </c>
      <c r="E15" s="18">
        <v>110987332</v>
      </c>
      <c r="F15" s="18">
        <v>1067101970</v>
      </c>
      <c r="G15" s="3">
        <v>6</v>
      </c>
      <c r="H15" s="18">
        <v>100301000</v>
      </c>
      <c r="I15" s="3" t="s">
        <v>11</v>
      </c>
    </row>
    <row r="16" spans="1:15" x14ac:dyDescent="0.2">
      <c r="A16" s="3">
        <v>15</v>
      </c>
      <c r="B16" s="18">
        <v>100300000</v>
      </c>
      <c r="C16" s="19" t="str">
        <f t="shared" si="4"/>
        <v>11.0825987</v>
      </c>
      <c r="D16" s="19" t="str">
        <f t="shared" si="5"/>
        <v>106.7244267</v>
      </c>
      <c r="E16" s="18">
        <v>110825987</v>
      </c>
      <c r="F16" s="18">
        <v>1067244267</v>
      </c>
      <c r="G16" s="3">
        <v>6</v>
      </c>
      <c r="H16" s="18">
        <v>100300000</v>
      </c>
      <c r="I16" s="3" t="s">
        <v>11</v>
      </c>
    </row>
    <row r="17" spans="1:9" x14ac:dyDescent="0.2">
      <c r="A17" s="4">
        <v>16</v>
      </c>
      <c r="B17" s="18">
        <v>100299000</v>
      </c>
      <c r="C17" s="19" t="str">
        <f t="shared" si="4"/>
        <v>11.0896976</v>
      </c>
      <c r="D17" s="19" t="str">
        <f t="shared" si="5"/>
        <v>106.7233474</v>
      </c>
      <c r="E17" s="18">
        <v>110896976</v>
      </c>
      <c r="F17" s="18">
        <v>1067233474</v>
      </c>
      <c r="G17" s="3">
        <v>6</v>
      </c>
      <c r="H17" s="18">
        <v>100299000</v>
      </c>
      <c r="I17" s="3" t="s">
        <v>11</v>
      </c>
    </row>
    <row r="18" spans="1:9" x14ac:dyDescent="0.2">
      <c r="A18" s="3">
        <v>17</v>
      </c>
      <c r="B18" s="18">
        <v>100815000</v>
      </c>
      <c r="C18" s="19" t="str">
        <f t="shared" si="4"/>
        <v>11.1619483</v>
      </c>
      <c r="D18" s="19" t="str">
        <f t="shared" si="5"/>
        <v>106.6826607</v>
      </c>
      <c r="E18" s="18">
        <v>111619483</v>
      </c>
      <c r="F18" s="18">
        <v>1066826607</v>
      </c>
      <c r="G18" s="3">
        <v>6</v>
      </c>
      <c r="H18" s="18">
        <v>100815000</v>
      </c>
      <c r="I18" s="3" t="s">
        <v>11</v>
      </c>
    </row>
    <row r="19" spans="1:9" x14ac:dyDescent="0.2">
      <c r="A19" s="4">
        <v>18</v>
      </c>
      <c r="B19" s="18">
        <v>100814000</v>
      </c>
      <c r="C19" s="19" t="str">
        <f t="shared" si="4"/>
        <v>11.1805895</v>
      </c>
      <c r="D19" s="19" t="str">
        <f t="shared" si="5"/>
        <v>106.6949101</v>
      </c>
      <c r="E19" s="18">
        <v>111805895</v>
      </c>
      <c r="F19" s="18">
        <v>1066949101</v>
      </c>
      <c r="G19" s="3">
        <v>6</v>
      </c>
      <c r="H19" s="18">
        <v>100814000</v>
      </c>
      <c r="I19" s="3" t="s">
        <v>11</v>
      </c>
    </row>
    <row r="20" spans="1:9" x14ac:dyDescent="0.2">
      <c r="A20" s="3">
        <v>19</v>
      </c>
      <c r="B20" s="18">
        <v>100297000</v>
      </c>
      <c r="C20" s="19" t="str">
        <f t="shared" si="4"/>
        <v>11.0978320</v>
      </c>
      <c r="D20" s="19" t="str">
        <f t="shared" si="5"/>
        <v>106.7223495</v>
      </c>
      <c r="E20" s="18">
        <v>110978320</v>
      </c>
      <c r="F20" s="18">
        <v>1067223495</v>
      </c>
      <c r="G20" s="3">
        <v>6</v>
      </c>
      <c r="H20" s="18">
        <v>100297000</v>
      </c>
      <c r="I20" s="3" t="s">
        <v>11</v>
      </c>
    </row>
    <row r="21" spans="1:9" x14ac:dyDescent="0.2">
      <c r="A21" s="4">
        <v>20</v>
      </c>
      <c r="B21" s="18">
        <v>100813000</v>
      </c>
      <c r="C21" s="19" t="str">
        <f t="shared" si="4"/>
        <v>11.1850995</v>
      </c>
      <c r="D21" s="19" t="str">
        <f t="shared" si="5"/>
        <v>106.6939846</v>
      </c>
      <c r="E21" s="18">
        <v>111850995</v>
      </c>
      <c r="F21" s="18">
        <v>1066939846</v>
      </c>
      <c r="G21" s="3">
        <v>6</v>
      </c>
      <c r="H21" s="18">
        <v>100813000</v>
      </c>
      <c r="I21" s="3" t="s">
        <v>11</v>
      </c>
    </row>
    <row r="22" spans="1:9" x14ac:dyDescent="0.2">
      <c r="A22" s="3">
        <v>21</v>
      </c>
      <c r="B22" s="18">
        <v>100296000</v>
      </c>
      <c r="C22" s="19" t="str">
        <f t="shared" si="4"/>
        <v>11.0991259</v>
      </c>
      <c r="D22" s="19" t="str">
        <f t="shared" si="5"/>
        <v>106.7220215</v>
      </c>
      <c r="E22" s="18">
        <v>110991259</v>
      </c>
      <c r="F22" s="18">
        <v>1067220215</v>
      </c>
      <c r="G22" s="3">
        <v>6</v>
      </c>
      <c r="H22" s="18">
        <v>100296000</v>
      </c>
      <c r="I22" s="3" t="s">
        <v>11</v>
      </c>
    </row>
    <row r="23" spans="1:9" x14ac:dyDescent="0.2">
      <c r="A23" s="4">
        <v>22</v>
      </c>
      <c r="B23" s="18">
        <v>100812000</v>
      </c>
      <c r="C23" s="19" t="str">
        <f t="shared" si="4"/>
        <v>11.1819633</v>
      </c>
      <c r="D23" s="19" t="str">
        <f t="shared" si="5"/>
        <v>106.7052874</v>
      </c>
      <c r="E23" s="18">
        <v>111819633</v>
      </c>
      <c r="F23" s="18">
        <v>1067052874</v>
      </c>
      <c r="G23" s="3">
        <v>6</v>
      </c>
      <c r="H23" s="18">
        <v>100812000</v>
      </c>
      <c r="I23" s="3" t="s">
        <v>11</v>
      </c>
    </row>
    <row r="24" spans="1:9" x14ac:dyDescent="0.2">
      <c r="A24" s="3">
        <v>23</v>
      </c>
      <c r="B24" s="18">
        <v>100295000</v>
      </c>
      <c r="C24" s="19" t="str">
        <f t="shared" si="4"/>
        <v>11.1170029</v>
      </c>
      <c r="D24" s="19" t="str">
        <f t="shared" si="5"/>
        <v>106.7231190</v>
      </c>
      <c r="E24" s="18">
        <v>111170029</v>
      </c>
      <c r="F24" s="18">
        <v>1067231190</v>
      </c>
      <c r="G24" s="3">
        <v>6</v>
      </c>
      <c r="H24" s="18">
        <v>100295000</v>
      </c>
      <c r="I24" s="3" t="s">
        <v>11</v>
      </c>
    </row>
    <row r="25" spans="1:9" x14ac:dyDescent="0.2">
      <c r="A25" s="4">
        <v>24</v>
      </c>
      <c r="B25" s="18">
        <v>100811000</v>
      </c>
      <c r="C25" s="19" t="str">
        <f t="shared" si="4"/>
        <v>11.1821774</v>
      </c>
      <c r="D25" s="19" t="str">
        <f t="shared" si="5"/>
        <v>106.7051144</v>
      </c>
      <c r="E25" s="18">
        <v>111821774</v>
      </c>
      <c r="F25" s="18">
        <v>1067051144</v>
      </c>
      <c r="G25" s="3">
        <v>6</v>
      </c>
      <c r="H25" s="18">
        <v>100811000</v>
      </c>
      <c r="I25" s="3" t="s">
        <v>11</v>
      </c>
    </row>
    <row r="26" spans="1:9" x14ac:dyDescent="0.2">
      <c r="A26" s="3">
        <v>25</v>
      </c>
      <c r="B26" s="18">
        <v>100810000</v>
      </c>
      <c r="C26" s="19" t="str">
        <f t="shared" si="4"/>
        <v>11.1827448</v>
      </c>
      <c r="D26" s="19" t="str">
        <f t="shared" si="5"/>
        <v>106.7085113</v>
      </c>
      <c r="E26" s="18">
        <v>111827448</v>
      </c>
      <c r="F26" s="18">
        <v>1067085113</v>
      </c>
      <c r="G26" s="3">
        <v>6</v>
      </c>
      <c r="H26" s="18">
        <v>100810000</v>
      </c>
      <c r="I26" s="3" t="s">
        <v>11</v>
      </c>
    </row>
    <row r="27" spans="1:9" x14ac:dyDescent="0.2">
      <c r="A27" s="4">
        <v>26</v>
      </c>
      <c r="B27" s="18">
        <v>100809000</v>
      </c>
      <c r="C27" s="19" t="str">
        <f t="shared" si="4"/>
        <v>11.1833424</v>
      </c>
      <c r="D27" s="19" t="str">
        <f t="shared" si="5"/>
        <v>106.7127801</v>
      </c>
      <c r="E27" s="18">
        <v>111833424</v>
      </c>
      <c r="F27" s="18">
        <v>1067127801</v>
      </c>
      <c r="G27" s="3">
        <v>6</v>
      </c>
      <c r="H27" s="18">
        <v>100809000</v>
      </c>
      <c r="I27" s="3" t="s">
        <v>11</v>
      </c>
    </row>
    <row r="28" spans="1:9" x14ac:dyDescent="0.2">
      <c r="A28" s="3">
        <v>27</v>
      </c>
      <c r="B28" s="18">
        <v>100808000</v>
      </c>
      <c r="C28" s="19" t="str">
        <f t="shared" si="4"/>
        <v>11.1847663</v>
      </c>
      <c r="D28" s="19" t="str">
        <f t="shared" si="5"/>
        <v>106.7134418</v>
      </c>
      <c r="E28" s="18">
        <v>111847663</v>
      </c>
      <c r="F28" s="18">
        <v>1067134418</v>
      </c>
      <c r="G28" s="3">
        <v>6</v>
      </c>
      <c r="H28" s="18">
        <v>100808000</v>
      </c>
      <c r="I28" s="3" t="s">
        <v>11</v>
      </c>
    </row>
    <row r="29" spans="1:9" x14ac:dyDescent="0.2">
      <c r="A29" s="4">
        <v>28</v>
      </c>
      <c r="B29" s="18">
        <v>100294000</v>
      </c>
      <c r="C29" s="19" t="str">
        <f t="shared" si="4"/>
        <v>11.1242479</v>
      </c>
      <c r="D29" s="19" t="str">
        <f t="shared" si="5"/>
        <v>106.7241971</v>
      </c>
      <c r="E29" s="18">
        <v>111242479</v>
      </c>
      <c r="F29" s="18">
        <v>1067241971</v>
      </c>
      <c r="G29" s="3">
        <v>6</v>
      </c>
      <c r="H29" s="18">
        <v>100294000</v>
      </c>
      <c r="I29" s="3" t="s">
        <v>11</v>
      </c>
    </row>
    <row r="30" spans="1:9" x14ac:dyDescent="0.2">
      <c r="A30" s="3">
        <v>29</v>
      </c>
      <c r="B30" s="18">
        <v>100807000</v>
      </c>
      <c r="C30" s="19" t="str">
        <f t="shared" si="4"/>
        <v>11.1836909</v>
      </c>
      <c r="D30" s="19" t="str">
        <f t="shared" si="5"/>
        <v>106.7166805</v>
      </c>
      <c r="E30" s="18">
        <v>111836909</v>
      </c>
      <c r="F30" s="18">
        <v>1067166805</v>
      </c>
      <c r="G30" s="3">
        <v>6</v>
      </c>
      <c r="H30" s="18">
        <v>100807000</v>
      </c>
      <c r="I30" s="3" t="s">
        <v>11</v>
      </c>
    </row>
    <row r="31" spans="1:9" x14ac:dyDescent="0.2">
      <c r="A31" s="4">
        <v>30</v>
      </c>
      <c r="B31" s="18">
        <v>100293000</v>
      </c>
      <c r="C31" s="19" t="str">
        <f t="shared" si="4"/>
        <v>11.1312422</v>
      </c>
      <c r="D31" s="19" t="str">
        <f t="shared" si="5"/>
        <v>106.7336872</v>
      </c>
      <c r="E31" s="18">
        <v>111312422</v>
      </c>
      <c r="F31" s="18">
        <v>1067336872</v>
      </c>
      <c r="G31" s="3">
        <v>6</v>
      </c>
      <c r="H31" s="18">
        <v>100293000</v>
      </c>
      <c r="I31" s="3" t="s">
        <v>11</v>
      </c>
    </row>
    <row r="32" spans="1:9" x14ac:dyDescent="0.2">
      <c r="A32" s="3">
        <v>31</v>
      </c>
      <c r="B32" s="18">
        <v>100292000</v>
      </c>
      <c r="C32" s="19" t="str">
        <f t="shared" si="4"/>
        <v>11.1315545</v>
      </c>
      <c r="D32" s="19" t="str">
        <f t="shared" si="5"/>
        <v>106.7280000</v>
      </c>
      <c r="E32" s="18">
        <v>111315545</v>
      </c>
      <c r="F32" s="18">
        <v>1067280000</v>
      </c>
      <c r="G32" s="3">
        <v>6</v>
      </c>
      <c r="H32" s="18">
        <v>100292000</v>
      </c>
      <c r="I32" s="3" t="s">
        <v>11</v>
      </c>
    </row>
    <row r="33" spans="1:9" x14ac:dyDescent="0.2">
      <c r="A33" s="4">
        <v>32</v>
      </c>
      <c r="B33" s="18">
        <v>100291000</v>
      </c>
      <c r="C33" s="19" t="str">
        <f t="shared" si="4"/>
        <v>11.1301623</v>
      </c>
      <c r="D33" s="19" t="str">
        <f t="shared" si="5"/>
        <v>106.7244756</v>
      </c>
      <c r="E33" s="18">
        <v>111301623</v>
      </c>
      <c r="F33" s="18">
        <v>1067244756</v>
      </c>
      <c r="G33" s="3">
        <v>6</v>
      </c>
      <c r="H33" s="18">
        <v>100291000</v>
      </c>
      <c r="I33" s="3" t="s">
        <v>11</v>
      </c>
    </row>
    <row r="34" spans="1:9" x14ac:dyDescent="0.2">
      <c r="A34" s="3">
        <v>33</v>
      </c>
      <c r="B34" s="18">
        <v>100290000</v>
      </c>
      <c r="C34" s="19" t="str">
        <f t="shared" si="4"/>
        <v>11.1273415</v>
      </c>
      <c r="D34" s="19" t="str">
        <f t="shared" si="5"/>
        <v>106.7201754</v>
      </c>
      <c r="E34" s="18">
        <v>111273415</v>
      </c>
      <c r="F34" s="18">
        <v>1067201754</v>
      </c>
      <c r="G34" s="3">
        <v>6</v>
      </c>
      <c r="H34" s="18">
        <v>100290000</v>
      </c>
      <c r="I34" s="3" t="s">
        <v>11</v>
      </c>
    </row>
    <row r="35" spans="1:9" x14ac:dyDescent="0.2">
      <c r="A35" s="4">
        <v>34</v>
      </c>
      <c r="B35" s="18">
        <v>100289000</v>
      </c>
      <c r="C35" s="19" t="str">
        <f t="shared" si="4"/>
        <v>11.1264159</v>
      </c>
      <c r="D35" s="19" t="str">
        <f t="shared" si="5"/>
        <v>106.7142083</v>
      </c>
      <c r="E35" s="18">
        <v>111264159</v>
      </c>
      <c r="F35" s="18">
        <v>1067142083</v>
      </c>
      <c r="G35" s="3">
        <v>6</v>
      </c>
      <c r="H35" s="18">
        <v>100289000</v>
      </c>
      <c r="I35" s="3" t="s">
        <v>11</v>
      </c>
    </row>
    <row r="36" spans="1:9" x14ac:dyDescent="0.2">
      <c r="A36" s="3">
        <v>35</v>
      </c>
      <c r="B36" s="18">
        <v>100801000</v>
      </c>
      <c r="C36" s="19" t="str">
        <f t="shared" si="4"/>
        <v>11.1205083</v>
      </c>
      <c r="D36" s="19" t="str">
        <f t="shared" si="5"/>
        <v>106.7070833</v>
      </c>
      <c r="E36" s="18">
        <v>111205083</v>
      </c>
      <c r="F36" s="18">
        <v>1067070833</v>
      </c>
      <c r="G36" s="3">
        <v>6</v>
      </c>
      <c r="H36" s="18">
        <v>100801000</v>
      </c>
      <c r="I36" s="3" t="s">
        <v>11</v>
      </c>
    </row>
    <row r="37" spans="1:9" x14ac:dyDescent="0.2">
      <c r="A37" s="4">
        <v>36</v>
      </c>
      <c r="B37" s="18">
        <v>100800000</v>
      </c>
      <c r="C37" s="19" t="str">
        <f t="shared" si="4"/>
        <v>11.1198787</v>
      </c>
      <c r="D37" s="19" t="str">
        <f t="shared" si="5"/>
        <v>106.7086925</v>
      </c>
      <c r="E37" s="18">
        <v>111198787</v>
      </c>
      <c r="F37" s="18">
        <v>1067086925</v>
      </c>
      <c r="G37" s="3">
        <v>6</v>
      </c>
      <c r="H37" s="18">
        <v>100800000</v>
      </c>
      <c r="I37" s="3" t="s">
        <v>11</v>
      </c>
    </row>
  </sheetData>
  <phoneticPr fontId="24" type="noConversion"/>
  <pageMargins left="0.7" right="0.7" top="0.75" bottom="0.75" header="0.3" footer="0.3"/>
  <pageSetup paperSize="9" orientation="portrait" horizontalDpi="4294967293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84085-C836-4A6A-B828-64C8A0D44C89}">
  <dimension ref="A1:D37"/>
  <sheetViews>
    <sheetView topLeftCell="A13" workbookViewId="0">
      <selection activeCell="D2" sqref="D2:D37"/>
    </sheetView>
  </sheetViews>
  <sheetFormatPr defaultRowHeight="14.25" x14ac:dyDescent="0.2"/>
  <cols>
    <col min="2" max="2" width="10.875" bestFit="1" customWidth="1"/>
    <col min="3" max="3" width="12.375" bestFit="1" customWidth="1"/>
  </cols>
  <sheetData>
    <row r="1" spans="1:4" ht="45" x14ac:dyDescent="0.2">
      <c r="A1" s="16" t="s">
        <v>25</v>
      </c>
      <c r="B1" s="16" t="s">
        <v>26</v>
      </c>
      <c r="C1" s="16" t="s">
        <v>27</v>
      </c>
      <c r="D1" s="16" t="s">
        <v>28</v>
      </c>
    </row>
    <row r="2" spans="1:4" x14ac:dyDescent="0.2">
      <c r="A2" s="17">
        <v>1</v>
      </c>
      <c r="B2" s="18">
        <v>111854650</v>
      </c>
      <c r="C2" s="18">
        <v>1067267617</v>
      </c>
      <c r="D2" s="18">
        <v>100806000</v>
      </c>
    </row>
    <row r="3" spans="1:4" x14ac:dyDescent="0.2">
      <c r="A3" s="17">
        <v>2</v>
      </c>
      <c r="B3" s="18">
        <v>111839449</v>
      </c>
      <c r="C3" s="18">
        <v>1067283192</v>
      </c>
      <c r="D3" s="18">
        <v>100805000</v>
      </c>
    </row>
    <row r="4" spans="1:4" x14ac:dyDescent="0.2">
      <c r="A4" s="17">
        <v>3</v>
      </c>
      <c r="B4" s="18">
        <v>111465233</v>
      </c>
      <c r="C4" s="18">
        <v>1067125400</v>
      </c>
      <c r="D4" s="18">
        <v>100804000</v>
      </c>
    </row>
    <row r="5" spans="1:4" x14ac:dyDescent="0.2">
      <c r="A5" s="17">
        <v>4</v>
      </c>
      <c r="B5" s="18">
        <v>111419603</v>
      </c>
      <c r="C5" s="18">
        <v>1067126515</v>
      </c>
      <c r="D5" s="18">
        <v>100803000</v>
      </c>
    </row>
    <row r="6" spans="1:4" x14ac:dyDescent="0.2">
      <c r="A6" s="17">
        <v>5</v>
      </c>
      <c r="B6" s="18">
        <v>111331154</v>
      </c>
      <c r="C6" s="18">
        <v>1067124898</v>
      </c>
      <c r="D6" s="18">
        <v>100802000</v>
      </c>
    </row>
    <row r="7" spans="1:4" x14ac:dyDescent="0.2">
      <c r="A7" s="17">
        <v>6</v>
      </c>
      <c r="B7" s="18">
        <v>111228746</v>
      </c>
      <c r="C7" s="18">
        <v>1067082080</v>
      </c>
      <c r="D7" s="18">
        <v>100264000</v>
      </c>
    </row>
    <row r="8" spans="1:4" x14ac:dyDescent="0.2">
      <c r="A8" s="17">
        <v>7</v>
      </c>
      <c r="B8" s="18">
        <v>111138415</v>
      </c>
      <c r="C8" s="18">
        <v>1067194560</v>
      </c>
      <c r="D8" s="18">
        <v>100298000</v>
      </c>
    </row>
    <row r="9" spans="1:4" x14ac:dyDescent="0.2">
      <c r="A9" s="17">
        <v>8</v>
      </c>
      <c r="B9" s="18">
        <v>111027206</v>
      </c>
      <c r="C9" s="18">
        <v>1067048816</v>
      </c>
      <c r="D9" s="18">
        <v>100305000</v>
      </c>
    </row>
    <row r="10" spans="1:4" x14ac:dyDescent="0.2">
      <c r="A10" s="17">
        <v>9</v>
      </c>
      <c r="B10" s="18">
        <v>111285808</v>
      </c>
      <c r="C10" s="18">
        <v>1067088711</v>
      </c>
      <c r="D10" s="18">
        <v>100304000</v>
      </c>
    </row>
    <row r="11" spans="1:4" x14ac:dyDescent="0.2">
      <c r="A11" s="17">
        <v>10</v>
      </c>
      <c r="B11" s="18">
        <v>111147057</v>
      </c>
      <c r="C11" s="18">
        <v>1067124676</v>
      </c>
      <c r="D11" s="18">
        <v>100281000</v>
      </c>
    </row>
    <row r="12" spans="1:4" x14ac:dyDescent="0.2">
      <c r="A12" s="17">
        <v>11</v>
      </c>
      <c r="B12" s="18">
        <v>111108568</v>
      </c>
      <c r="C12" s="18">
        <v>1067066741</v>
      </c>
      <c r="D12" s="18">
        <v>100816000</v>
      </c>
    </row>
    <row r="13" spans="1:4" x14ac:dyDescent="0.2">
      <c r="A13" s="17">
        <v>12</v>
      </c>
      <c r="B13" s="18">
        <v>110953368</v>
      </c>
      <c r="C13" s="18">
        <v>1067040759</v>
      </c>
      <c r="D13" s="18">
        <v>100303000</v>
      </c>
    </row>
    <row r="14" spans="1:4" x14ac:dyDescent="0.2">
      <c r="A14" s="17">
        <v>13</v>
      </c>
      <c r="B14" s="18">
        <v>111095117</v>
      </c>
      <c r="C14" s="18">
        <v>1067221360</v>
      </c>
      <c r="D14" s="18">
        <v>100302000</v>
      </c>
    </row>
    <row r="15" spans="1:4" x14ac:dyDescent="0.2">
      <c r="A15" s="17">
        <v>14</v>
      </c>
      <c r="B15" s="18">
        <v>110987332</v>
      </c>
      <c r="C15" s="18">
        <v>1067101970</v>
      </c>
      <c r="D15" s="18">
        <v>100301000</v>
      </c>
    </row>
    <row r="16" spans="1:4" x14ac:dyDescent="0.2">
      <c r="A16" s="17">
        <v>15</v>
      </c>
      <c r="B16" s="18">
        <v>110825987</v>
      </c>
      <c r="C16" s="18">
        <v>1067244267</v>
      </c>
      <c r="D16" s="18">
        <v>100300000</v>
      </c>
    </row>
    <row r="17" spans="1:4" x14ac:dyDescent="0.2">
      <c r="A17" s="17">
        <v>16</v>
      </c>
      <c r="B17" s="18">
        <v>110896976</v>
      </c>
      <c r="C17" s="18">
        <v>1067233474</v>
      </c>
      <c r="D17" s="18">
        <v>100299000</v>
      </c>
    </row>
    <row r="18" spans="1:4" x14ac:dyDescent="0.2">
      <c r="A18" s="17">
        <v>17</v>
      </c>
      <c r="B18" s="18">
        <v>111619483</v>
      </c>
      <c r="C18" s="18">
        <v>1066826607</v>
      </c>
      <c r="D18" s="18">
        <v>100815000</v>
      </c>
    </row>
    <row r="19" spans="1:4" x14ac:dyDescent="0.2">
      <c r="A19" s="17">
        <v>18</v>
      </c>
      <c r="B19" s="18">
        <v>111805895</v>
      </c>
      <c r="C19" s="18">
        <v>1066949101</v>
      </c>
      <c r="D19" s="18">
        <v>100814000</v>
      </c>
    </row>
    <row r="20" spans="1:4" x14ac:dyDescent="0.2">
      <c r="A20" s="17">
        <v>19</v>
      </c>
      <c r="B20" s="18">
        <v>110978320</v>
      </c>
      <c r="C20" s="18">
        <v>1067223495</v>
      </c>
      <c r="D20" s="18">
        <v>100297000</v>
      </c>
    </row>
    <row r="21" spans="1:4" x14ac:dyDescent="0.2">
      <c r="A21" s="17">
        <v>20</v>
      </c>
      <c r="B21" s="18">
        <v>111850995</v>
      </c>
      <c r="C21" s="18">
        <v>1066939846</v>
      </c>
      <c r="D21" s="18">
        <v>100813000</v>
      </c>
    </row>
    <row r="22" spans="1:4" x14ac:dyDescent="0.2">
      <c r="A22" s="17">
        <v>21</v>
      </c>
      <c r="B22" s="18">
        <v>110991259</v>
      </c>
      <c r="C22" s="18">
        <v>1067220215</v>
      </c>
      <c r="D22" s="18">
        <v>100296000</v>
      </c>
    </row>
    <row r="23" spans="1:4" x14ac:dyDescent="0.2">
      <c r="A23" s="17">
        <v>22</v>
      </c>
      <c r="B23" s="18">
        <v>111819633</v>
      </c>
      <c r="C23" s="18">
        <v>1067052874</v>
      </c>
      <c r="D23" s="18">
        <v>100812000</v>
      </c>
    </row>
    <row r="24" spans="1:4" x14ac:dyDescent="0.2">
      <c r="A24" s="17">
        <v>23</v>
      </c>
      <c r="B24" s="18">
        <v>111170029</v>
      </c>
      <c r="C24" s="18">
        <v>1067231190</v>
      </c>
      <c r="D24" s="18">
        <v>100295000</v>
      </c>
    </row>
    <row r="25" spans="1:4" x14ac:dyDescent="0.2">
      <c r="A25" s="17">
        <v>24</v>
      </c>
      <c r="B25" s="18">
        <v>111821774</v>
      </c>
      <c r="C25" s="18">
        <v>1067051144</v>
      </c>
      <c r="D25" s="18">
        <v>100811000</v>
      </c>
    </row>
    <row r="26" spans="1:4" x14ac:dyDescent="0.2">
      <c r="A26" s="17">
        <v>25</v>
      </c>
      <c r="B26" s="18">
        <v>111827448</v>
      </c>
      <c r="C26" s="18">
        <v>1067085113</v>
      </c>
      <c r="D26" s="18">
        <v>100810000</v>
      </c>
    </row>
    <row r="27" spans="1:4" x14ac:dyDescent="0.2">
      <c r="A27" s="17">
        <v>26</v>
      </c>
      <c r="B27" s="18">
        <v>111833424</v>
      </c>
      <c r="C27" s="18">
        <v>1067127801</v>
      </c>
      <c r="D27" s="18">
        <v>100809000</v>
      </c>
    </row>
    <row r="28" spans="1:4" x14ac:dyDescent="0.2">
      <c r="A28" s="17">
        <v>27</v>
      </c>
      <c r="B28" s="18">
        <v>111847663</v>
      </c>
      <c r="C28" s="18">
        <v>1067134418</v>
      </c>
      <c r="D28" s="18">
        <v>100808000</v>
      </c>
    </row>
    <row r="29" spans="1:4" x14ac:dyDescent="0.2">
      <c r="A29" s="17">
        <v>28</v>
      </c>
      <c r="B29" s="18">
        <v>111242479</v>
      </c>
      <c r="C29" s="18">
        <v>1067241971</v>
      </c>
      <c r="D29" s="18">
        <v>100294000</v>
      </c>
    </row>
    <row r="30" spans="1:4" x14ac:dyDescent="0.2">
      <c r="A30" s="17">
        <v>29</v>
      </c>
      <c r="B30" s="18">
        <v>111836909</v>
      </c>
      <c r="C30" s="18">
        <v>1067166805</v>
      </c>
      <c r="D30" s="18">
        <v>100807000</v>
      </c>
    </row>
    <row r="31" spans="1:4" x14ac:dyDescent="0.2">
      <c r="A31" s="17">
        <v>30</v>
      </c>
      <c r="B31" s="18">
        <v>111312422</v>
      </c>
      <c r="C31" s="18">
        <v>1067336872</v>
      </c>
      <c r="D31" s="18">
        <v>100293000</v>
      </c>
    </row>
    <row r="32" spans="1:4" x14ac:dyDescent="0.2">
      <c r="A32" s="17">
        <v>31</v>
      </c>
      <c r="B32" s="18">
        <v>111315545</v>
      </c>
      <c r="C32" s="18">
        <v>1067280000</v>
      </c>
      <c r="D32" s="18">
        <v>100292000</v>
      </c>
    </row>
    <row r="33" spans="1:4" x14ac:dyDescent="0.2">
      <c r="A33" s="17">
        <v>32</v>
      </c>
      <c r="B33" s="18">
        <v>111301623</v>
      </c>
      <c r="C33" s="18">
        <v>1067244756</v>
      </c>
      <c r="D33" s="18">
        <v>100291000</v>
      </c>
    </row>
    <row r="34" spans="1:4" x14ac:dyDescent="0.2">
      <c r="A34" s="17">
        <v>33</v>
      </c>
      <c r="B34" s="18">
        <v>111273415</v>
      </c>
      <c r="C34" s="18">
        <v>1067201754</v>
      </c>
      <c r="D34" s="18">
        <v>100290000</v>
      </c>
    </row>
    <row r="35" spans="1:4" x14ac:dyDescent="0.2">
      <c r="A35" s="17">
        <v>34</v>
      </c>
      <c r="B35" s="18">
        <v>111264159</v>
      </c>
      <c r="C35" s="18">
        <v>1067142083</v>
      </c>
      <c r="D35" s="18">
        <v>100289000</v>
      </c>
    </row>
    <row r="36" spans="1:4" x14ac:dyDescent="0.2">
      <c r="A36" s="17">
        <v>35</v>
      </c>
      <c r="B36" s="18">
        <v>111205083</v>
      </c>
      <c r="C36" s="18">
        <v>1067070833</v>
      </c>
      <c r="D36" s="18">
        <v>100801000</v>
      </c>
    </row>
    <row r="37" spans="1:4" x14ac:dyDescent="0.2">
      <c r="A37" s="17">
        <v>36</v>
      </c>
      <c r="B37" s="18">
        <v>111198787</v>
      </c>
      <c r="C37" s="18">
        <v>1067086925</v>
      </c>
      <c r="D37" s="18">
        <v>100800000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287DF9-B8B9-4052-830A-5E4ABFF850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 Vu Lam</dc:creator>
  <cp:lastModifiedBy>Mai Vu Lam </cp:lastModifiedBy>
  <dcterms:created xsi:type="dcterms:W3CDTF">2024-07-31T14:16:02Z</dcterms:created>
  <dcterms:modified xsi:type="dcterms:W3CDTF">2026-04-08T09:54:50Z</dcterms:modified>
</cp:coreProperties>
</file>